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New folder (4)\"/>
    </mc:Choice>
  </mc:AlternateContent>
  <xr:revisionPtr revIDLastSave="0" documentId="13_ncr:1_{D902EC32-376F-4B5E-92A3-E114C07CA7A8}" xr6:coauthVersionLast="47" xr6:coauthVersionMax="47" xr10:uidLastSave="{00000000-0000-0000-0000-000000000000}"/>
  <bookViews>
    <workbookView xWindow="-120" yWindow="-120" windowWidth="20730" windowHeight="11160" xr2:uid="{5FA2B2FC-7F3F-4DAB-AA42-77BB29F2B3D1}"/>
  </bookViews>
  <sheets>
    <sheet name="Customers Data" sheetId="2" r:id="rId1"/>
    <sheet name="Plans Table" sheetId="4" r:id="rId2"/>
    <sheet name="Billing Data" sheetId="3" r:id="rId3"/>
    <sheet name="Pivot Tables" sheetId="5" r:id="rId4"/>
  </sheets>
  <definedNames>
    <definedName name="_xlcn.WorksheetConnection_Book1.xlsxBilling_Data" hidden="1">Billing_Data[]</definedName>
    <definedName name="_xlcn.WorksheetConnection_Book1.xlsxCustomers_Data" hidden="1">Customers_Data[]</definedName>
    <definedName name="_xlcn.WorksheetConnection_Book1.xlsxPlans_Table" hidden="1">Plans_Table[]</definedName>
    <definedName name="ExternalData_1" localSheetId="2" hidden="1">'Billing Data'!$A$1:$G$230</definedName>
    <definedName name="ExternalData_1" localSheetId="0" hidden="1">'Customers Data'!$A$1:$I$126</definedName>
    <definedName name="ExternalData_2" localSheetId="1" hidden="1">'Plans Table'!$A$1:$E$6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illing_Data" name="Billing_Data" connection="WorksheetConnection_Book1.xlsx!Billing_Data"/>
          <x15:modelTable id="Customers_Data" name="Customers_Data" connection="WorksheetConnection_Book1.xlsx!Customers_Data"/>
          <x15:modelTable id="Plans_Table" name="Plans_Table" connection="WorksheetConnection_Book1.xlsx!Plans_Table"/>
        </x15:modelTables>
        <x15:modelRelationships>
          <x15:modelRelationship fromTable="Billing_Data" fromColumn="CustomerID" toTable="Customers_Data" toColumn="CustomerID"/>
          <x15:modelRelationship fromTable="Customers_Data" fromColumn="PlanCode" toTable="Plans_Table" toColumn="Plan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1" i="3" l="1"/>
  <c r="D23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EFF61-33B8-4615-B9B3-0785778D1A4B}" keepAlive="1" name="Query - Billing Data" description="Connection to the 'Billing Data' query in the workbook." type="5" refreshedVersion="8" background="1" saveData="1">
    <dbPr connection="Provider=Microsoft.Mashup.OleDb.1;Data Source=$Workbook$;Location=&quot;Billing Data&quot;;Extended Properties=&quot;&quot;" command="SELECT * FROM [Billing Data]"/>
  </connection>
  <connection id="2" xr16:uid="{2D710F82-5591-459F-800D-5D382C308999}" keepAlive="1" name="Query - Customers Data" description="Connection to the 'Customers Data' query in the workbook." type="5" refreshedVersion="8" background="1" saveData="1">
    <dbPr connection="Provider=Microsoft.Mashup.OleDb.1;Data Source=$Workbook$;Location=&quot;Customers Data&quot;;Extended Properties=&quot;&quot;" command="SELECT * FROM [Customers Data]"/>
  </connection>
  <connection id="3" xr16:uid="{04064598-46C9-4006-93E6-4D18E8B31A74}" keepAlive="1" name="Query - Plans Table" description="Connection to the 'Plans Table' query in the workbook." type="5" refreshedVersion="8" background="1" saveData="1">
    <dbPr connection="Provider=Microsoft.Mashup.OleDb.1;Data Source=$Workbook$;Location=&quot;Plans Table&quot;;Extended Properties=&quot;&quot;" command="SELECT * FROM [Plans Table]"/>
  </connection>
  <connection id="4" xr16:uid="{AF1FC101-BF65-4DF6-B678-85E20FA3B1E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AE9067CD-E0FA-4A2A-8DAE-8A03AB0D0C38}" name="WorksheetConnection_Book1.xlsx!Billing_Data" type="102" refreshedVersion="8" minRefreshableVersion="5">
    <extLst>
      <ext xmlns:x15="http://schemas.microsoft.com/office/spreadsheetml/2010/11/main" uri="{DE250136-89BD-433C-8126-D09CA5730AF9}">
        <x15:connection id="Billing_Data">
          <x15:rangePr sourceName="_xlcn.WorksheetConnection_Book1.xlsxBilling_Data"/>
        </x15:connection>
      </ext>
    </extLst>
  </connection>
  <connection id="6" xr16:uid="{B9587FE0-5959-42BB-9B48-683A6A6349D1}" name="WorksheetConnection_Book1.xlsx!Customers_Data" type="102" refreshedVersion="8" minRefreshableVersion="5">
    <extLst>
      <ext xmlns:x15="http://schemas.microsoft.com/office/spreadsheetml/2010/11/main" uri="{DE250136-89BD-433C-8126-D09CA5730AF9}">
        <x15:connection id="Customers_Data">
          <x15:rangePr sourceName="_xlcn.WorksheetConnection_Book1.xlsxCustomers_Data"/>
        </x15:connection>
      </ext>
    </extLst>
  </connection>
  <connection id="7" xr16:uid="{A080987F-5EA2-4BBC-8868-1F7295010D9A}" name="WorksheetConnection_Book1.xlsx!Plans_Table" type="102" refreshedVersion="8" minRefreshableVersion="5">
    <extLst>
      <ext xmlns:x15="http://schemas.microsoft.com/office/spreadsheetml/2010/11/main" uri="{DE250136-89BD-433C-8126-D09CA5730AF9}">
        <x15:connection id="Plans_Table">
          <x15:rangePr sourceName="_xlcn.WorksheetConnection_Book1.xlsxPlans_Table"/>
        </x15:connection>
      </ext>
    </extLst>
  </connection>
</connections>
</file>

<file path=xl/sharedStrings.xml><?xml version="1.0" encoding="utf-8"?>
<sst xmlns="http://schemas.openxmlformats.org/spreadsheetml/2006/main" count="1987" uniqueCount="457">
  <si>
    <t>CustomerID</t>
  </si>
  <si>
    <t>FullName</t>
  </si>
  <si>
    <t>Email</t>
  </si>
  <si>
    <t>Phone</t>
  </si>
  <si>
    <t>Region</t>
  </si>
  <si>
    <t>State</t>
  </si>
  <si>
    <t>JoinDate</t>
  </si>
  <si>
    <t>PlanCode</t>
  </si>
  <si>
    <t>Status</t>
  </si>
  <si>
    <t>C-10000</t>
  </si>
  <si>
    <t>fatima.yusuf@example.com</t>
  </si>
  <si>
    <t>South-South</t>
  </si>
  <si>
    <t>Delta</t>
  </si>
  <si>
    <t>PLN-PRE</t>
  </si>
  <si>
    <t>Active</t>
  </si>
  <si>
    <t>C-10001</t>
  </si>
  <si>
    <t>olu.williams@example.com</t>
  </si>
  <si>
    <t>N/A</t>
  </si>
  <si>
    <t>North-Central</t>
  </si>
  <si>
    <t>Abuja</t>
  </si>
  <si>
    <t>PLN-BAS</t>
  </si>
  <si>
    <t>C-10002</t>
  </si>
  <si>
    <t>Sarah  Abubakar</t>
  </si>
  <si>
    <t>sarah.abubakar@example.com</t>
  </si>
  <si>
    <t>North-West</t>
  </si>
  <si>
    <t>Kaduna</t>
  </si>
  <si>
    <t>C-10003</t>
  </si>
  <si>
    <t>zainab.ade@example.com</t>
  </si>
  <si>
    <t>South-East</t>
  </si>
  <si>
    <t>Anambra</t>
  </si>
  <si>
    <t>C-10004</t>
  </si>
  <si>
    <t>Fatima Smith</t>
  </si>
  <si>
    <t>fatima.smith@example.com</t>
  </si>
  <si>
    <t>South-West</t>
  </si>
  <si>
    <t>Lagos</t>
  </si>
  <si>
    <t>PLN-ENT</t>
  </si>
  <si>
    <t>C-10005</t>
  </si>
  <si>
    <t>emmanuel.abubakar@example.com</t>
  </si>
  <si>
    <t>C-10006</t>
  </si>
  <si>
    <t>olu.nwachukwu@example.com</t>
  </si>
  <si>
    <t>Churned</t>
  </si>
  <si>
    <t>C-10007</t>
  </si>
  <si>
    <t>Rivers</t>
  </si>
  <si>
    <t>PLN-FIB</t>
  </si>
  <si>
    <t>C-10008</t>
  </si>
  <si>
    <t>Chidi  Williams</t>
  </si>
  <si>
    <t>chidi.williams@example.com</t>
  </si>
  <si>
    <t>Enugu</t>
  </si>
  <si>
    <t>C-10009</t>
  </si>
  <si>
    <t>C-10010</t>
  </si>
  <si>
    <t>mary.williams@example.com</t>
  </si>
  <si>
    <t>C-10011</t>
  </si>
  <si>
    <t>emmanuel.ade@example.com</t>
  </si>
  <si>
    <t>C-10012</t>
  </si>
  <si>
    <t>emmanuel.doe@example.com</t>
  </si>
  <si>
    <t>C-10013</t>
  </si>
  <si>
    <t>aisha.bello@example.com</t>
  </si>
  <si>
    <t>C-10014</t>
  </si>
  <si>
    <t>mary.okonkwo@example.com</t>
  </si>
  <si>
    <t>PLN-UNL</t>
  </si>
  <si>
    <t>Suspended</t>
  </si>
  <si>
    <t>C-10015</t>
  </si>
  <si>
    <t>emmanuel.johnson@example.com</t>
  </si>
  <si>
    <t>C-10016</t>
  </si>
  <si>
    <t>aisha.smith@example.com</t>
  </si>
  <si>
    <t>C-10017</t>
  </si>
  <si>
    <t>C-10018</t>
  </si>
  <si>
    <t>Oyo</t>
  </si>
  <si>
    <t>C-10019</t>
  </si>
  <si>
    <t>Kano</t>
  </si>
  <si>
    <t>C-10020</t>
  </si>
  <si>
    <t>C-10021</t>
  </si>
  <si>
    <t>david.okonkwo@example.com</t>
  </si>
  <si>
    <t>Kwara</t>
  </si>
  <si>
    <t>C-10022</t>
  </si>
  <si>
    <t>C-10023</t>
  </si>
  <si>
    <t>C-10024</t>
  </si>
  <si>
    <t>C-10025</t>
  </si>
  <si>
    <t>C-10026</t>
  </si>
  <si>
    <t>olu.yusuf@example.com</t>
  </si>
  <si>
    <t>Ogun</t>
  </si>
  <si>
    <t>C-10027</t>
  </si>
  <si>
    <t>zainab.abubakar@example.com</t>
  </si>
  <si>
    <t>C-10028</t>
  </si>
  <si>
    <t>C-10029</t>
  </si>
  <si>
    <t>C-10030</t>
  </si>
  <si>
    <t>mary.abubakar@example.com</t>
  </si>
  <si>
    <t>C-10031</t>
  </si>
  <si>
    <t>Sarah  Williams</t>
  </si>
  <si>
    <t>sarah.williams@example.com</t>
  </si>
  <si>
    <t>Plateau</t>
  </si>
  <si>
    <t>C-10032</t>
  </si>
  <si>
    <t>chidi.yusuf@example.com</t>
  </si>
  <si>
    <t>C-10033</t>
  </si>
  <si>
    <t>david.bello@example.com</t>
  </si>
  <si>
    <t>C-10034</t>
  </si>
  <si>
    <t>John Okonkwo</t>
  </si>
  <si>
    <t>C-10035</t>
  </si>
  <si>
    <t>david.ade@example.com</t>
  </si>
  <si>
    <t>C-10036</t>
  </si>
  <si>
    <t>aisha.doe@example.com</t>
  </si>
  <si>
    <t>C-10037</t>
  </si>
  <si>
    <t>mary.smith@example.com</t>
  </si>
  <si>
    <t>C-10038</t>
  </si>
  <si>
    <t>Fatima Bello</t>
  </si>
  <si>
    <t>fatima.bello@example.com</t>
  </si>
  <si>
    <t>C-10039</t>
  </si>
  <si>
    <t>C-10040</t>
  </si>
  <si>
    <t>C-10041</t>
  </si>
  <si>
    <t>C-10042</t>
  </si>
  <si>
    <t>aisha.ade@example.com</t>
  </si>
  <si>
    <t>C-10043</t>
  </si>
  <si>
    <t>C-10044</t>
  </si>
  <si>
    <t>mary.doe@example.com</t>
  </si>
  <si>
    <t>C-10045</t>
  </si>
  <si>
    <t>zainab.okonkwo@example.com</t>
  </si>
  <si>
    <t>C-10046</t>
  </si>
  <si>
    <t>david.smith@example.com</t>
  </si>
  <si>
    <t>C-10047</t>
  </si>
  <si>
    <t>C-10048</t>
  </si>
  <si>
    <t>C-10049</t>
  </si>
  <si>
    <t>C-10050</t>
  </si>
  <si>
    <t>Fatima  Williams</t>
  </si>
  <si>
    <t>fatima.williams@example.com</t>
  </si>
  <si>
    <t>C-10051</t>
  </si>
  <si>
    <t>C-10052</t>
  </si>
  <si>
    <t>C-10053</t>
  </si>
  <si>
    <t>aisha.nwachukwu@example.com</t>
  </si>
  <si>
    <t>C-10054</t>
  </si>
  <si>
    <t>C-10055</t>
  </si>
  <si>
    <t>C-10056</t>
  </si>
  <si>
    <t>C-10057</t>
  </si>
  <si>
    <t>emmanuel.bello@example.com</t>
  </si>
  <si>
    <t>C-10058</t>
  </si>
  <si>
    <t>emmanuel.williams@example.com</t>
  </si>
  <si>
    <t>C-10059</t>
  </si>
  <si>
    <t>olu.ade@example.com</t>
  </si>
  <si>
    <t>C-10060</t>
  </si>
  <si>
    <t>C-10061</t>
  </si>
  <si>
    <t>C-10062</t>
  </si>
  <si>
    <t>C-10063</t>
  </si>
  <si>
    <t>C-10064</t>
  </si>
  <si>
    <t>C-10065</t>
  </si>
  <si>
    <t>C-10066</t>
  </si>
  <si>
    <t>aisha.okonkwo@example.com</t>
  </si>
  <si>
    <t>C-10067</t>
  </si>
  <si>
    <t>C-10068</t>
  </si>
  <si>
    <t>C-10069</t>
  </si>
  <si>
    <t>C-10070</t>
  </si>
  <si>
    <t>C-10071</t>
  </si>
  <si>
    <t>C-10072</t>
  </si>
  <si>
    <t>C-10073</t>
  </si>
  <si>
    <t>C-10074</t>
  </si>
  <si>
    <t>mary.bello@example.com</t>
  </si>
  <si>
    <t>C-10075</t>
  </si>
  <si>
    <t>C-10076</t>
  </si>
  <si>
    <t>C-10077</t>
  </si>
  <si>
    <t>C-10078</t>
  </si>
  <si>
    <t>olu.doe@example.com</t>
  </si>
  <si>
    <t>C-10079</t>
  </si>
  <si>
    <t>C-10080</t>
  </si>
  <si>
    <t>C-10081</t>
  </si>
  <si>
    <t>C-10082</t>
  </si>
  <si>
    <t>mary.nwachukwu@example.com</t>
  </si>
  <si>
    <t>C-10083</t>
  </si>
  <si>
    <t>sarah.yusuf@example.com</t>
  </si>
  <si>
    <t>C-10084</t>
  </si>
  <si>
    <t>C-10085</t>
  </si>
  <si>
    <t>C-10086</t>
  </si>
  <si>
    <t>C-10087</t>
  </si>
  <si>
    <t>C-10088</t>
  </si>
  <si>
    <t>C-10089</t>
  </si>
  <si>
    <t>sarah.nwachukwu@example.com</t>
  </si>
  <si>
    <t>C-10090</t>
  </si>
  <si>
    <t>C-10091</t>
  </si>
  <si>
    <t>C-10092</t>
  </si>
  <si>
    <t>C-10093</t>
  </si>
  <si>
    <t>john.nwachukwu@example.com</t>
  </si>
  <si>
    <t>C-10094</t>
  </si>
  <si>
    <t>C-10095</t>
  </si>
  <si>
    <t>david.yusuf@example.com</t>
  </si>
  <si>
    <t>C-10096</t>
  </si>
  <si>
    <t>C-10097</t>
  </si>
  <si>
    <t>C-10098</t>
  </si>
  <si>
    <t>C-10099</t>
  </si>
  <si>
    <t>C-10100</t>
  </si>
  <si>
    <t>C-10101</t>
  </si>
  <si>
    <t>C-10102</t>
  </si>
  <si>
    <t>C-10103</t>
  </si>
  <si>
    <t>Fatima  Abubakar</t>
  </si>
  <si>
    <t>fatima.abubakar@example.com</t>
  </si>
  <si>
    <t>C-10104</t>
  </si>
  <si>
    <t>C-10105</t>
  </si>
  <si>
    <t>emmanuel.okonkwo@example.com</t>
  </si>
  <si>
    <t>C-10106</t>
  </si>
  <si>
    <t>chidi.ade@example.com</t>
  </si>
  <si>
    <t>C-10107</t>
  </si>
  <si>
    <t>C-10108</t>
  </si>
  <si>
    <t>C-10109</t>
  </si>
  <si>
    <t>david.doe@example.com</t>
  </si>
  <si>
    <t>C-10110</t>
  </si>
  <si>
    <t>C-10111</t>
  </si>
  <si>
    <t>C-10112</t>
  </si>
  <si>
    <t>C-10113</t>
  </si>
  <si>
    <t>C-10114</t>
  </si>
  <si>
    <t>C-10115</t>
  </si>
  <si>
    <t>C-10116</t>
  </si>
  <si>
    <t>aisha.yusuf@example.com</t>
  </si>
  <si>
    <t>C-10117</t>
  </si>
  <si>
    <t>C-10118</t>
  </si>
  <si>
    <t>C-10119</t>
  </si>
  <si>
    <t>TransactionID</t>
  </si>
  <si>
    <t>BillingMonth</t>
  </si>
  <si>
    <t>DataUsed_GB</t>
  </si>
  <si>
    <t>PaymentStatus</t>
  </si>
  <si>
    <t>PaymentMethod</t>
  </si>
  <si>
    <t>SupportTickets</t>
  </si>
  <si>
    <t>TXN-224424</t>
  </si>
  <si>
    <t>Paid</t>
  </si>
  <si>
    <t>Cash</t>
  </si>
  <si>
    <t>TXN-171804</t>
  </si>
  <si>
    <t>Bank Transfer</t>
  </si>
  <si>
    <t>TXN-251010</t>
  </si>
  <si>
    <t>Late</t>
  </si>
  <si>
    <t>TXN-594389</t>
  </si>
  <si>
    <t>Card</t>
  </si>
  <si>
    <t>TXN-741132</t>
  </si>
  <si>
    <t>TXN-618774</t>
  </si>
  <si>
    <t>TXN-222370</t>
  </si>
  <si>
    <t>TXN-734586</t>
  </si>
  <si>
    <t>TXN-935128</t>
  </si>
  <si>
    <t>Failed</t>
  </si>
  <si>
    <t>TXN-703350</t>
  </si>
  <si>
    <t>USSD</t>
  </si>
  <si>
    <t>TXN-496660</t>
  </si>
  <si>
    <t>TXN-586828</t>
  </si>
  <si>
    <t>TXN-623223</t>
  </si>
  <si>
    <t>TXN-512684</t>
  </si>
  <si>
    <t>TXN-874254</t>
  </si>
  <si>
    <t>TXN-210134</t>
  </si>
  <si>
    <t>TXN-442805</t>
  </si>
  <si>
    <t>TXN-777443</t>
  </si>
  <si>
    <t>TXN-562725</t>
  </si>
  <si>
    <t>TXN-854746</t>
  </si>
  <si>
    <t>TXN-468088</t>
  </si>
  <si>
    <t>TXN-648123</t>
  </si>
  <si>
    <t>TXN-590059</t>
  </si>
  <si>
    <t>TXN-934372</t>
  </si>
  <si>
    <t>TXN-329432</t>
  </si>
  <si>
    <t>TXN-629853</t>
  </si>
  <si>
    <t>TXN-201633</t>
  </si>
  <si>
    <t>TXN-435422</t>
  </si>
  <si>
    <t>TXN-564551</t>
  </si>
  <si>
    <t>TXN-484930</t>
  </si>
  <si>
    <t>TXN-704987</t>
  </si>
  <si>
    <t>TXN-451996</t>
  </si>
  <si>
    <t>TXN-178667</t>
  </si>
  <si>
    <t>TXN-982873</t>
  </si>
  <si>
    <t>TXN-681559</t>
  </si>
  <si>
    <t>TXN-927361</t>
  </si>
  <si>
    <t>TXN-491763</t>
  </si>
  <si>
    <t>TXN-500732</t>
  </si>
  <si>
    <t>TXN-176882</t>
  </si>
  <si>
    <t>TXN-676180</t>
  </si>
  <si>
    <t>TXN-535384</t>
  </si>
  <si>
    <t>TXN-768560</t>
  </si>
  <si>
    <t>TXN-973053</t>
  </si>
  <si>
    <t>TXN-962650</t>
  </si>
  <si>
    <t>TXN-419087</t>
  </si>
  <si>
    <t>TXN-283838</t>
  </si>
  <si>
    <t>TXN-951910</t>
  </si>
  <si>
    <t>TXN-571520</t>
  </si>
  <si>
    <t>TXN-522108</t>
  </si>
  <si>
    <t>TXN-472099</t>
  </si>
  <si>
    <t>TXN-934301</t>
  </si>
  <si>
    <t>TXN-689376</t>
  </si>
  <si>
    <t>TXN-927181</t>
  </si>
  <si>
    <t>TXN-387086</t>
  </si>
  <si>
    <t>TXN-949439</t>
  </si>
  <si>
    <t>TXN-373514</t>
  </si>
  <si>
    <t>TXN-315185</t>
  </si>
  <si>
    <t>TXN-171457</t>
  </si>
  <si>
    <t>TXN-715783</t>
  </si>
  <si>
    <t>TXN-836069</t>
  </si>
  <si>
    <t>TXN-837882</t>
  </si>
  <si>
    <t>TXN-122949</t>
  </si>
  <si>
    <t>TXN-777085</t>
  </si>
  <si>
    <t>TXN-773413</t>
  </si>
  <si>
    <t>TXN-414800</t>
  </si>
  <si>
    <t>TXN-199677</t>
  </si>
  <si>
    <t>TXN-411320</t>
  </si>
  <si>
    <t>TXN-391851</t>
  </si>
  <si>
    <t>TXN-157778</t>
  </si>
  <si>
    <t>TXN-842263</t>
  </si>
  <si>
    <t>TXN-660142</t>
  </si>
  <si>
    <t>TXN-398246</t>
  </si>
  <si>
    <t>TXN-562722</t>
  </si>
  <si>
    <t>TXN-845173</t>
  </si>
  <si>
    <t>TXN-250362</t>
  </si>
  <si>
    <t>TXN-590011</t>
  </si>
  <si>
    <t>TXN-496155</t>
  </si>
  <si>
    <t>TXN-232145</t>
  </si>
  <si>
    <t>TXN-657158</t>
  </si>
  <si>
    <t>TXN-235777</t>
  </si>
  <si>
    <t>TXN-902092</t>
  </si>
  <si>
    <t>TXN-211425</t>
  </si>
  <si>
    <t>TXN-794692</t>
  </si>
  <si>
    <t>TXN-333333</t>
  </si>
  <si>
    <t>TXN-277562</t>
  </si>
  <si>
    <t>TXN-166299</t>
  </si>
  <si>
    <t>TXN-279589</t>
  </si>
  <si>
    <t>TXN-935105</t>
  </si>
  <si>
    <t>TXN-171887</t>
  </si>
  <si>
    <t>TXN-562479</t>
  </si>
  <si>
    <t>TXN-590680</t>
  </si>
  <si>
    <t>TXN-175225</t>
  </si>
  <si>
    <t>TXN-751790</t>
  </si>
  <si>
    <t>TXN-405404</t>
  </si>
  <si>
    <t>PlanName</t>
  </si>
  <si>
    <t>BasePrice</t>
  </si>
  <si>
    <t>DataLimit_GB</t>
  </si>
  <si>
    <t>Overcharge_PerGB</t>
  </si>
  <si>
    <t>Basic</t>
  </si>
  <si>
    <t>Premium</t>
  </si>
  <si>
    <t>Unlimited</t>
  </si>
  <si>
    <t>Fiber-Home</t>
  </si>
  <si>
    <t>Enterprise</t>
  </si>
  <si>
    <t>Fatima Yusuf</t>
  </si>
  <si>
    <t>Olu  Williams</t>
  </si>
  <si>
    <t xml:space="preserve"> Zainab Ade</t>
  </si>
  <si>
    <t>Emmanuel  Abubakar</t>
  </si>
  <si>
    <t>Olu Nwachukwu</t>
  </si>
  <si>
    <t>David Nwachukwu</t>
  </si>
  <si>
    <t>Mary  Williams</t>
  </si>
  <si>
    <t>Emmanuel Ade</t>
  </si>
  <si>
    <t>Emmanuel Doe</t>
  </si>
  <si>
    <t xml:space="preserve"> Aisha  Bello</t>
  </si>
  <si>
    <t>Mary Okonkwo</t>
  </si>
  <si>
    <t>Emmanuel Johnson</t>
  </si>
  <si>
    <t xml:space="preserve"> Aisha  Smith</t>
  </si>
  <si>
    <t>Mary Ade</t>
  </si>
  <si>
    <t>Sarah Yusuf</t>
  </si>
  <si>
    <t>David Okonkwo</t>
  </si>
  <si>
    <t xml:space="preserve"> Zainab Yusuf</t>
  </si>
  <si>
    <t>Olu Yusuf</t>
  </si>
  <si>
    <t xml:space="preserve"> Zainab  Abubakar</t>
  </si>
  <si>
    <t>Mary  Abubakar</t>
  </si>
  <si>
    <t>Chidi Yusuf</t>
  </si>
  <si>
    <t>David Bello</t>
  </si>
  <si>
    <t>David Ade</t>
  </si>
  <si>
    <t xml:space="preserve"> Aisha  Doe</t>
  </si>
  <si>
    <t>Mary Smith</t>
  </si>
  <si>
    <t>Emmanuel  Williams</t>
  </si>
  <si>
    <t xml:space="preserve"> Aisha  Ade</t>
  </si>
  <si>
    <t>Mary Doe</t>
  </si>
  <si>
    <t xml:space="preserve"> Zainab Okonkwo</t>
  </si>
  <si>
    <t>David Smith</t>
  </si>
  <si>
    <t xml:space="preserve"> Aisha  Okonkwo</t>
  </si>
  <si>
    <t>Sarah Doe</t>
  </si>
  <si>
    <t xml:space="preserve"> Aisha  Nwachukwu</t>
  </si>
  <si>
    <t>Emmanuel Bello</t>
  </si>
  <si>
    <t>Olu Ade</t>
  </si>
  <si>
    <t>Chidi Nwachukwu</t>
  </si>
  <si>
    <t>Mary Bello</t>
  </si>
  <si>
    <t>Mary Johnson</t>
  </si>
  <si>
    <t>Olu Doe</t>
  </si>
  <si>
    <t>Mary Nwachukwu</t>
  </si>
  <si>
    <t xml:space="preserve"> Aisha  Johnson</t>
  </si>
  <si>
    <t>Sarah Nwachukwu</t>
  </si>
  <si>
    <t>John Nwachukwu</t>
  </si>
  <si>
    <t>David Yusuf</t>
  </si>
  <si>
    <t>Emmanuel Okonkwo</t>
  </si>
  <si>
    <t>Chidi Ade</t>
  </si>
  <si>
    <t>David Doe</t>
  </si>
  <si>
    <t xml:space="preserve"> Aisha  Yusuf</t>
  </si>
  <si>
    <t>07040454693</t>
  </si>
  <si>
    <t>07079337675</t>
  </si>
  <si>
    <t>08077761162</t>
  </si>
  <si>
    <t>07060191830</t>
  </si>
  <si>
    <t>09006529718</t>
  </si>
  <si>
    <t>08046009848</t>
  </si>
  <si>
    <t>08033779829</t>
  </si>
  <si>
    <t>07087249492</t>
  </si>
  <si>
    <t>07007622117</t>
  </si>
  <si>
    <t>07031393883</t>
  </si>
  <si>
    <t>07043648559</t>
  </si>
  <si>
    <t>09088198223</t>
  </si>
  <si>
    <t>08024960355</t>
  </si>
  <si>
    <t>07073505716</t>
  </si>
  <si>
    <t>07085443595</t>
  </si>
  <si>
    <t>08055217988</t>
  </si>
  <si>
    <t>09065306653</t>
  </si>
  <si>
    <t>07079691850</t>
  </si>
  <si>
    <t>09021021430</t>
  </si>
  <si>
    <t>09097193630</t>
  </si>
  <si>
    <t>07080299653</t>
  </si>
  <si>
    <t>09060533519</t>
  </si>
  <si>
    <t>08018274474</t>
  </si>
  <si>
    <t>07000140228</t>
  </si>
  <si>
    <t>09086790886</t>
  </si>
  <si>
    <t>09065355694</t>
  </si>
  <si>
    <t>07023826072</t>
  </si>
  <si>
    <t>08097621457</t>
  </si>
  <si>
    <t>09027806497</t>
  </si>
  <si>
    <t>09006236316</t>
  </si>
  <si>
    <t>08012978939</t>
  </si>
  <si>
    <t>07041270104</t>
  </si>
  <si>
    <t>09034149605</t>
  </si>
  <si>
    <t>08009706346</t>
  </si>
  <si>
    <t>09021448839</t>
  </si>
  <si>
    <t>08009282302</t>
  </si>
  <si>
    <t>09009569032</t>
  </si>
  <si>
    <t>07033857348</t>
  </si>
  <si>
    <t>07098150493</t>
  </si>
  <si>
    <t>07060431388</t>
  </si>
  <si>
    <t>08064380678</t>
  </si>
  <si>
    <t>08099329718</t>
  </si>
  <si>
    <t>08044781498</t>
  </si>
  <si>
    <t>08070932231</t>
  </si>
  <si>
    <t>09065383569</t>
  </si>
  <si>
    <t>08000669223</t>
  </si>
  <si>
    <t>08046115993</t>
  </si>
  <si>
    <t>07000547900</t>
  </si>
  <si>
    <t>09060416972</t>
  </si>
  <si>
    <t>07015392288</t>
  </si>
  <si>
    <t>07016630829</t>
  </si>
  <si>
    <t>07040925916</t>
  </si>
  <si>
    <t>07010609312</t>
  </si>
  <si>
    <t>09055938597</t>
  </si>
  <si>
    <t>07033857321</t>
  </si>
  <si>
    <t>08048970929</t>
  </si>
  <si>
    <t>09018512396</t>
  </si>
  <si>
    <t>09048962071</t>
  </si>
  <si>
    <t>07018538612</t>
  </si>
  <si>
    <t>09034057630</t>
  </si>
  <si>
    <t>09096849845</t>
  </si>
  <si>
    <t>07059080708</t>
  </si>
  <si>
    <t>09003332415</t>
  </si>
  <si>
    <t>08095311099</t>
  </si>
  <si>
    <t>08088998817</t>
  </si>
  <si>
    <t>09086705541</t>
  </si>
  <si>
    <t>09087309995</t>
  </si>
  <si>
    <t>08054659477</t>
  </si>
  <si>
    <t>09050343360</t>
  </si>
  <si>
    <t>08012903524</t>
  </si>
  <si>
    <t>07096328329</t>
  </si>
  <si>
    <t>07083472097</t>
  </si>
  <si>
    <t>08044281358</t>
  </si>
  <si>
    <t>07060416962</t>
  </si>
  <si>
    <t>Grand Total</t>
  </si>
  <si>
    <t>Customers Count</t>
  </si>
  <si>
    <t>Customer Count</t>
  </si>
  <si>
    <t>Count of PlanCode</t>
  </si>
  <si>
    <t>Plan</t>
  </si>
  <si>
    <t>Top 10 Customers</t>
  </si>
  <si>
    <t>Sum of Data Used by Plan Type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</si>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</sst>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5.750357523146" backgroundQuery="1" createdVersion="8" refreshedVersion="8" minRefreshableVersion="3" recordCount="0" supportSubquery="1" supportAdvancedDrill="1" xr:uid="{316E7FF7-2B37-4893-8E04-1F00193BF297}">
  <cacheSource type="external" connectionId="4"/>
  <cacheFields count="2">
    <cacheField name="[Customers_Data].[Region].[Region]" caption="Region" numFmtId="0" hierarchy="11" level="1">
      <sharedItems count="5">
        <s v="North-Central"/>
        <s v="North-West"/>
        <s v="South-East"/>
        <s v="South-South"/>
        <s v="South-West"/>
      </sharedItems>
    </cacheField>
    <cacheField name="[Measures].[Count of CustomerID]" caption="Count of CustomerID" numFmtId="0" hierarchy="25" level="32767"/>
  </cacheFields>
  <cacheHierarchies count="30">
    <cacheHierarchy uniqueName="[Billing_Data].[TransactionID]" caption="TransactionID" attribute="1" defaultMemberUniqueName="[Billing_Data].[TransactionID].[All]" allUniqueName="[Billing_Data].[TransactionID].[All]" dimensionUniqueName="[Billing_Data]" displayFolder="" count="0" memberValueDatatype="130" unbalanced="0"/>
    <cacheHierarchy uniqueName="[Billing_Data].[CustomerID]" caption="CustomerID" attribute="1" defaultMemberUniqueName="[Billing_Data].[CustomerID].[All]" allUniqueName="[Billing_Data].[CustomerID].[All]" dimensionUniqueName="[Billing_Data]" displayFolder="" count="0" memberValueDatatype="130" unbalanced="0"/>
    <cacheHierarchy uniqueName="[Billing_Data].[BillingMonth]" caption="BillingMonth" attribute="1" time="1" defaultMemberUniqueName="[Billing_Data].[BillingMonth].[All]" allUniqueName="[Billing_Data].[BillingMonth].[All]" dimensionUniqueName="[Billing_Data]" displayFolder="" count="0" memberValueDatatype="7" unbalanced="0"/>
    <cacheHierarchy uniqueName="[Billing_Data].[DataUsed_GB]" caption="DataUsed_GB" attribute="1" defaultMemberUniqueName="[Billing_Data].[DataUsed_GB].[All]" allUniqueName="[Billing_Data].[DataUsed_GB].[All]" dimensionUniqueName="[Billing_Data]" displayFolder="" count="0" memberValueDatatype="5" unbalanced="0"/>
    <cacheHierarchy uniqueName="[Billing_Data].[PaymentStatus]" caption="PaymentStatus" attribute="1" defaultMemberUniqueName="[Billing_Data].[PaymentStatus].[All]" allUniqueName="[Billing_Data].[PaymentStatus].[All]" dimensionUniqueName="[Billing_Data]" displayFolder="" count="0" memberValueDatatype="130" unbalanced="0"/>
    <cacheHierarchy uniqueName="[Billing_Data].[PaymentMethod]" caption="PaymentMethod" attribute="1" defaultMemberUniqueName="[Billing_Data].[PaymentMethod].[All]" allUniqueName="[Billing_Data].[PaymentMethod].[All]" dimensionUniqueName="[Billing_Data]" displayFolder="" count="0" memberValueDatatype="130" unbalanced="0"/>
    <cacheHierarchy uniqueName="[Billing_Data].[SupportTickets]" caption="SupportTickets" attribute="1" defaultMemberUniqueName="[Billing_Data].[SupportTickets].[All]" allUniqueName="[Billing_Data].[SupportTickets].[All]" dimensionUniqueName="[Billing_Data]" displayFolder="" count="0" memberValueDatatype="20" unbalanced="0"/>
    <cacheHierarchy uniqueName="[Customers_Data].[CustomerID]" caption="CustomerID" attribute="1" defaultMemberUniqueName="[Customers_Data].[CustomerID].[All]" allUniqueName="[Customers_Data].[CustomerID].[All]" dimensionUniqueName="[Customers_Data]" displayFolder="" count="0" memberValueDatatype="130" unbalanced="0"/>
    <cacheHierarchy uniqueName="[Customers_Data].[FullName]" caption="FullName" attribute="1" defaultMemberUniqueName="[Customers_Data].[FullName].[All]" allUniqueName="[Customers_Data].[FullName].[All]" dimensionUniqueName="[Customers_Data]" displayFolder="" count="0" memberValueDatatype="130" unbalanced="0"/>
    <cacheHierarchy uniqueName="[Customers_Data].[Email]" caption="Email" attribute="1" defaultMemberUniqueName="[Customers_Data].[Email].[All]" allUniqueName="[Customers_Data].[Email].[All]" dimensionUniqueName="[Customers_Data]" displayFolder="" count="0" memberValueDatatype="130" unbalanced="0"/>
    <cacheHierarchy uniqueName="[Customers_Data].[Phone]" caption="Phone" attribute="1" defaultMemberUniqueName="[Customers_Data].[Phone].[All]" allUniqueName="[Customers_Data].[Phone].[All]" dimensionUniqueName="[Customers_Data]" displayFolder="" count="0" memberValueDatatype="130" unbalanced="0"/>
    <cacheHierarchy uniqueName="[Customers_Data].[Region]" caption="Region" attribute="1" defaultMemberUniqueName="[Customers_Data].[Region].[All]" allUniqueName="[Customers_Data].[Region].[All]" dimensionUniqueName="[Customers_Data]" displayFolder="" count="2" memberValueDatatype="130" unbalanced="0">
      <fieldsUsage count="2">
        <fieldUsage x="-1"/>
        <fieldUsage x="0"/>
      </fieldsUsage>
    </cacheHierarchy>
    <cacheHierarchy uniqueName="[Customers_Data].[State]" caption="State" attribute="1" defaultMemberUniqueName="[Customers_Data].[State].[All]" allUniqueName="[Customers_Data].[State].[All]" dimensionUniqueName="[Customers_Data]" displayFolder="" count="0" memberValueDatatype="130" unbalanced="0"/>
    <cacheHierarchy uniqueName="[Customers_Data].[JoinDate]" caption="JoinDate" attribute="1" time="1" defaultMemberUniqueName="[Customers_Data].[JoinDate].[All]" allUniqueName="[Customers_Data].[JoinDate].[All]" dimensionUniqueName="[Customers_Data]" displayFolder="" count="0" memberValueDatatype="7" unbalanced="0"/>
    <cacheHierarchy uniqueName="[Customers_Data].[PlanCode]" caption="PlanCode" attribute="1" defaultMemberUniqueName="[Customers_Data].[PlanCode].[All]" allUniqueName="[Customers_Data].[PlanCode].[All]" dimensionUniqueName="[Customers_Data]" displayFolder="" count="0" memberValueDatatype="130" unbalanced="0"/>
    <cacheHierarchy uniqueName="[Customers_Data].[Status]" caption="Status" attribute="1" defaultMemberUniqueName="[Customers_Data].[Status].[All]" allUniqueName="[Customers_Data].[Status].[All]" dimensionUniqueName="[Customers_Data]" displayFolder="" count="0" memberValueDatatype="130" unbalanced="0"/>
    <cacheHierarchy uniqueName="[Plans_Table].[PlanCode]" caption="PlanCode" attribute="1" defaultMemberUniqueName="[Plans_Table].[PlanCode].[All]" allUniqueName="[Plans_Table].[PlanCode].[All]" dimensionUniqueName="[Plans_Table]" displayFolder="" count="0" memberValueDatatype="130" unbalanced="0"/>
    <cacheHierarchy uniqueName="[Plans_Table].[PlanName]" caption="PlanName" attribute="1" defaultMemberUniqueName="[Plans_Table].[PlanName].[All]" allUniqueName="[Plans_Table].[PlanName].[All]" dimensionUniqueName="[Plans_Table]" displayFolder="" count="0" memberValueDatatype="130" unbalanced="0"/>
    <cacheHierarchy uniqueName="[Plans_Table].[BasePrice]" caption="BasePrice" attribute="1" defaultMemberUniqueName="[Plans_Table].[BasePrice].[All]" allUniqueName="[Plans_Table].[BasePrice].[All]" dimensionUniqueName="[Plans_Table]" displayFolder="" count="0" memberValueDatatype="20" unbalanced="0"/>
    <cacheHierarchy uniqueName="[Plans_Table].[DataLimit_GB]" caption="DataLimit_GB" attribute="1" defaultMemberUniqueName="[Plans_Table].[DataLimit_GB].[All]" allUniqueName="[Plans_Table].[DataLimit_GB].[All]" dimensionUniqueName="[Plans_Table]" displayFolder="" count="0" memberValueDatatype="20" unbalanced="0"/>
    <cacheHierarchy uniqueName="[Plans_Table].[Overcharge_PerGB]" caption="Overcharge_PerGB" attribute="1" defaultMemberUniqueName="[Plans_Table].[Overcharge_PerGB].[All]" allUniqueName="[Plans_Table].[Overcharge_PerGB].[All]" dimensionUniqueName="[Plans_Table]" displayFolder="" count="0" memberValueDatatype="20" unbalanced="0"/>
    <cacheHierarchy uniqueName="[Measures].[__XL_Count Billing_Data]" caption="__XL_Count Billing_Data" measure="1" displayFolder="" measureGroup="Billing_Data" count="0" hidden="1"/>
    <cacheHierarchy uniqueName="[Measures].[__XL_Count Customers_Data]" caption="__XL_Count Customers_Data" measure="1" displayFolder="" measureGroup="Customers_Data" count="0" hidden="1"/>
    <cacheHierarchy uniqueName="[Measures].[__XL_Count Plans_Table]" caption="__XL_Count Plans_Table" measure="1" displayFolder="" measureGroup="Plans_Tabl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Customer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lanCode]" caption="Count of PlanCode" measure="1" displayFolder="" measureGroup="Customers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Billing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taUsed_GB]" caption="Sum of DataUsed_GB" measure="1" displayFolder="" measureGroup="Bill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lanName]" caption="Count of PlanName" measure="1" displayFolder="" measureGroup="Plan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Billing_Data" uniqueName="[Billing_Data]" caption="Billing_Data"/>
    <dimension name="Customers_Data" uniqueName="[Customers_Data]" caption="Customers_Data"/>
    <dimension measure="1" name="Measures" uniqueName="[Measures]" caption="Measures"/>
    <dimension name="Plans_Table" uniqueName="[Plans_Table]" caption="Plans_Table"/>
  </dimensions>
  <measureGroups count="3">
    <measureGroup name="Billing_Data" caption="Billing_Data"/>
    <measureGroup name="Customers_Data" caption="Customers_Data"/>
    <measureGroup name="Plans_Table" caption="Plans_Table"/>
  </measureGroups>
  <maps count="6">
    <map measureGroup="0" dimension="0"/>
    <map measureGroup="0" dimension="1"/>
    <map measureGroup="0" dimension="3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5.758514814814" backgroundQuery="1" createdVersion="8" refreshedVersion="8" minRefreshableVersion="3" recordCount="0" supportSubquery="1" supportAdvancedDrill="1" xr:uid="{34D1DD98-3D3E-4039-9664-E609156F4CA0}">
  <cacheSource type="external" connectionId="4"/>
  <cacheFields count="3">
    <cacheField name="[Billing_Data].[CustomerID].[CustomerID]" caption="CustomerID" numFmtId="0" hierarchy="1" level="1">
      <sharedItems count="10">
        <s v="C-10007"/>
        <s v="C-10009"/>
        <s v="C-10014"/>
        <s v="C-10019"/>
        <s v="C-10023"/>
        <s v="C-10024"/>
        <s v="C-10026"/>
        <s v="C-10027"/>
        <s v="C-10034"/>
        <s v="C-10045"/>
      </sharedItems>
    </cacheField>
    <cacheField name="[Measures].[Sum of DataUsed_GB]" caption="Sum of DataUsed_GB" numFmtId="0" hierarchy="28" level="32767"/>
    <cacheField name="[Plans_Table].[PlanName].[PlanName]" caption="PlanName" numFmtId="0" hierarchy="17" level="1">
      <sharedItems count="4">
        <s v="Enterprise"/>
        <s v="Fiber-Home"/>
        <s v="Premium"/>
        <s v="Unlimited"/>
      </sharedItems>
    </cacheField>
  </cacheFields>
  <cacheHierarchies count="30">
    <cacheHierarchy uniqueName="[Billing_Data].[TransactionID]" caption="TransactionID" attribute="1" defaultMemberUniqueName="[Billing_Data].[TransactionID].[All]" allUniqueName="[Billing_Data].[TransactionID].[All]" dimensionUniqueName="[Billing_Data]" displayFolder="" count="0" memberValueDatatype="130" unbalanced="0"/>
    <cacheHierarchy uniqueName="[Billing_Data].[CustomerID]" caption="CustomerID" attribute="1" defaultMemberUniqueName="[Billing_Data].[CustomerID].[All]" allUniqueName="[Billing_Data].[CustomerID].[All]" dimensionUniqueName="[Billing_Data]" displayFolder="" count="2" memberValueDatatype="130" unbalanced="0">
      <fieldsUsage count="2">
        <fieldUsage x="-1"/>
        <fieldUsage x="0"/>
      </fieldsUsage>
    </cacheHierarchy>
    <cacheHierarchy uniqueName="[Billing_Data].[BillingMonth]" caption="BillingMonth" attribute="1" time="1" defaultMemberUniqueName="[Billing_Data].[BillingMonth].[All]" allUniqueName="[Billing_Data].[BillingMonth].[All]" dimensionUniqueName="[Billing_Data]" displayFolder="" count="0" memberValueDatatype="7" unbalanced="0"/>
    <cacheHierarchy uniqueName="[Billing_Data].[DataUsed_GB]" caption="DataUsed_GB" attribute="1" defaultMemberUniqueName="[Billing_Data].[DataUsed_GB].[All]" allUniqueName="[Billing_Data].[DataUsed_GB].[All]" dimensionUniqueName="[Billing_Data]" displayFolder="" count="0" memberValueDatatype="5" unbalanced="0"/>
    <cacheHierarchy uniqueName="[Billing_Data].[PaymentStatus]" caption="PaymentStatus" attribute="1" defaultMemberUniqueName="[Billing_Data].[PaymentStatus].[All]" allUniqueName="[Billing_Data].[PaymentStatus].[All]" dimensionUniqueName="[Billing_Data]" displayFolder="" count="0" memberValueDatatype="130" unbalanced="0"/>
    <cacheHierarchy uniqueName="[Billing_Data].[PaymentMethod]" caption="PaymentMethod" attribute="1" defaultMemberUniqueName="[Billing_Data].[PaymentMethod].[All]" allUniqueName="[Billing_Data].[PaymentMethod].[All]" dimensionUniqueName="[Billing_Data]" displayFolder="" count="0" memberValueDatatype="130" unbalanced="0"/>
    <cacheHierarchy uniqueName="[Billing_Data].[SupportTickets]" caption="SupportTickets" attribute="1" defaultMemberUniqueName="[Billing_Data].[SupportTickets].[All]" allUniqueName="[Billing_Data].[SupportTickets].[All]" dimensionUniqueName="[Billing_Data]" displayFolder="" count="0" memberValueDatatype="20" unbalanced="0"/>
    <cacheHierarchy uniqueName="[Customers_Data].[CustomerID]" caption="CustomerID" attribute="1" defaultMemberUniqueName="[Customers_Data].[CustomerID].[All]" allUniqueName="[Customers_Data].[CustomerID].[All]" dimensionUniqueName="[Customers_Data]" displayFolder="" count="0" memberValueDatatype="130" unbalanced="0"/>
    <cacheHierarchy uniqueName="[Customers_Data].[FullName]" caption="FullName" attribute="1" defaultMemberUniqueName="[Customers_Data].[FullName].[All]" allUniqueName="[Customers_Data].[FullName].[All]" dimensionUniqueName="[Customers_Data]" displayFolder="" count="0" memberValueDatatype="130" unbalanced="0"/>
    <cacheHierarchy uniqueName="[Customers_Data].[Email]" caption="Email" attribute="1" defaultMemberUniqueName="[Customers_Data].[Email].[All]" allUniqueName="[Customers_Data].[Email].[All]" dimensionUniqueName="[Customers_Data]" displayFolder="" count="0" memberValueDatatype="130" unbalanced="0"/>
    <cacheHierarchy uniqueName="[Customers_Data].[Phone]" caption="Phone" attribute="1" defaultMemberUniqueName="[Customers_Data].[Phone].[All]" allUniqueName="[Customers_Data].[Phone].[All]" dimensionUniqueName="[Customers_Data]" displayFolder="" count="0" memberValueDatatype="130" unbalanced="0"/>
    <cacheHierarchy uniqueName="[Customers_Data].[Region]" caption="Region" attribute="1" defaultMemberUniqueName="[Customers_Data].[Region].[All]" allUniqueName="[Customers_Data].[Region].[All]" dimensionUniqueName="[Customers_Data]" displayFolder="" count="0" memberValueDatatype="130" unbalanced="0"/>
    <cacheHierarchy uniqueName="[Customers_Data].[State]" caption="State" attribute="1" defaultMemberUniqueName="[Customers_Data].[State].[All]" allUniqueName="[Customers_Data].[State].[All]" dimensionUniqueName="[Customers_Data]" displayFolder="" count="0" memberValueDatatype="130" unbalanced="0"/>
    <cacheHierarchy uniqueName="[Customers_Data].[JoinDate]" caption="JoinDate" attribute="1" time="1" defaultMemberUniqueName="[Customers_Data].[JoinDate].[All]" allUniqueName="[Customers_Data].[JoinDate].[All]" dimensionUniqueName="[Customers_Data]" displayFolder="" count="0" memberValueDatatype="7" unbalanced="0"/>
    <cacheHierarchy uniqueName="[Customers_Data].[PlanCode]" caption="PlanCode" attribute="1" defaultMemberUniqueName="[Customers_Data].[PlanCode].[All]" allUniqueName="[Customers_Data].[PlanCode].[All]" dimensionUniqueName="[Customers_Data]" displayFolder="" count="0" memberValueDatatype="130" unbalanced="0"/>
    <cacheHierarchy uniqueName="[Customers_Data].[Status]" caption="Status" attribute="1" defaultMemberUniqueName="[Customers_Data].[Status].[All]" allUniqueName="[Customers_Data].[Status].[All]" dimensionUniqueName="[Customers_Data]" displayFolder="" count="0" memberValueDatatype="130" unbalanced="0"/>
    <cacheHierarchy uniqueName="[Plans_Table].[PlanCode]" caption="PlanCode" attribute="1" defaultMemberUniqueName="[Plans_Table].[PlanCode].[All]" allUniqueName="[Plans_Table].[PlanCode].[All]" dimensionUniqueName="[Plans_Table]" displayFolder="" count="0" memberValueDatatype="130" unbalanced="0"/>
    <cacheHierarchy uniqueName="[Plans_Table].[PlanName]" caption="PlanName" attribute="1" defaultMemberUniqueName="[Plans_Table].[PlanName].[All]" allUniqueName="[Plans_Table].[PlanName].[All]" dimensionUniqueName="[Plans_Table]" displayFolder="" count="2" memberValueDatatype="130" unbalanced="0">
      <fieldsUsage count="2">
        <fieldUsage x="-1"/>
        <fieldUsage x="2"/>
      </fieldsUsage>
    </cacheHierarchy>
    <cacheHierarchy uniqueName="[Plans_Table].[BasePrice]" caption="BasePrice" attribute="1" defaultMemberUniqueName="[Plans_Table].[BasePrice].[All]" allUniqueName="[Plans_Table].[BasePrice].[All]" dimensionUniqueName="[Plans_Table]" displayFolder="" count="0" memberValueDatatype="20" unbalanced="0"/>
    <cacheHierarchy uniqueName="[Plans_Table].[DataLimit_GB]" caption="DataLimit_GB" attribute="1" defaultMemberUniqueName="[Plans_Table].[DataLimit_GB].[All]" allUniqueName="[Plans_Table].[DataLimit_GB].[All]" dimensionUniqueName="[Plans_Table]" displayFolder="" count="0" memberValueDatatype="20" unbalanced="0"/>
    <cacheHierarchy uniqueName="[Plans_Table].[Overcharge_PerGB]" caption="Overcharge_PerGB" attribute="1" defaultMemberUniqueName="[Plans_Table].[Overcharge_PerGB].[All]" allUniqueName="[Plans_Table].[Overcharge_PerGB].[All]" dimensionUniqueName="[Plans_Table]" displayFolder="" count="0" memberValueDatatype="20" unbalanced="0"/>
    <cacheHierarchy uniqueName="[Measures].[__XL_Count Billing_Data]" caption="__XL_Count Billing_Data" measure="1" displayFolder="" measureGroup="Billing_Data" count="0" hidden="1"/>
    <cacheHierarchy uniqueName="[Measures].[__XL_Count Customers_Data]" caption="__XL_Count Customers_Data" measure="1" displayFolder="" measureGroup="Customers_Data" count="0" hidden="1"/>
    <cacheHierarchy uniqueName="[Measures].[__XL_Count Plans_Table]" caption="__XL_Count Plans_Table" measure="1" displayFolder="" measureGroup="Plans_Tabl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Customers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lanCode]" caption="Count of PlanCode" measure="1" displayFolder="" measureGroup="Customers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Billing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taUsed_GB]" caption="Sum of DataUsed_GB" measure="1" displayFolder="" measureGroup="Billing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lanName]" caption="Count of PlanName" measure="1" displayFolder="" measureGroup="Plan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Billing_Data" uniqueName="[Billing_Data]" caption="Billing_Data"/>
    <dimension name="Customers_Data" uniqueName="[Customers_Data]" caption="Customers_Data"/>
    <dimension measure="1" name="Measures" uniqueName="[Measures]" caption="Measures"/>
    <dimension name="Plans_Table" uniqueName="[Plans_Table]" caption="Plans_Table"/>
  </dimensions>
  <measureGroups count="3">
    <measureGroup name="Billing_Data" caption="Billing_Data"/>
    <measureGroup name="Customers_Data" caption="Customers_Data"/>
    <measureGroup name="Plans_Table" caption="Plans_Table"/>
  </measureGroups>
  <maps count="6">
    <map measureGroup="0" dimension="0"/>
    <map measureGroup="0" dimension="1"/>
    <map measureGroup="0" dimension="3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5.760941666667" backgroundQuery="1" createdVersion="8" refreshedVersion="8" minRefreshableVersion="3" recordCount="0" supportSubquery="1" supportAdvancedDrill="1" xr:uid="{F66DF161-69D3-4648-A595-097EC6CBA8CF}">
  <cacheSource type="external" connectionId="4"/>
  <cacheFields count="2">
    <cacheField name="[Plans_Table].[PlanName].[PlanName]" caption="PlanName" numFmtId="0" hierarchy="17" level="1">
      <sharedItems count="5">
        <s v="Basic"/>
        <s v="Enterprise"/>
        <s v="Fiber-Home"/>
        <s v="Premium"/>
        <s v="Unlimited"/>
      </sharedItems>
    </cacheField>
    <cacheField name="[Measures].[Count of PlanCode]" caption="Count of PlanCode" numFmtId="0" hierarchy="26" level="32767"/>
  </cacheFields>
  <cacheHierarchies count="30">
    <cacheHierarchy uniqueName="[Billing_Data].[TransactionID]" caption="TransactionID" attribute="1" defaultMemberUniqueName="[Billing_Data].[TransactionID].[All]" allUniqueName="[Billing_Data].[TransactionID].[All]" dimensionUniqueName="[Billing_Data]" displayFolder="" count="0" memberValueDatatype="130" unbalanced="0"/>
    <cacheHierarchy uniqueName="[Billing_Data].[CustomerID]" caption="CustomerID" attribute="1" defaultMemberUniqueName="[Billing_Data].[CustomerID].[All]" allUniqueName="[Billing_Data].[CustomerID].[All]" dimensionUniqueName="[Billing_Data]" displayFolder="" count="0" memberValueDatatype="130" unbalanced="0"/>
    <cacheHierarchy uniqueName="[Billing_Data].[BillingMonth]" caption="BillingMonth" attribute="1" time="1" defaultMemberUniqueName="[Billing_Data].[BillingMonth].[All]" allUniqueName="[Billing_Data].[BillingMonth].[All]" dimensionUniqueName="[Billing_Data]" displayFolder="" count="0" memberValueDatatype="7" unbalanced="0"/>
    <cacheHierarchy uniqueName="[Billing_Data].[DataUsed_GB]" caption="DataUsed_GB" attribute="1" defaultMemberUniqueName="[Billing_Data].[DataUsed_GB].[All]" allUniqueName="[Billing_Data].[DataUsed_GB].[All]" dimensionUniqueName="[Billing_Data]" displayFolder="" count="0" memberValueDatatype="5" unbalanced="0"/>
    <cacheHierarchy uniqueName="[Billing_Data].[PaymentStatus]" caption="PaymentStatus" attribute="1" defaultMemberUniqueName="[Billing_Data].[PaymentStatus].[All]" allUniqueName="[Billing_Data].[PaymentStatus].[All]" dimensionUniqueName="[Billing_Data]" displayFolder="" count="0" memberValueDatatype="130" unbalanced="0"/>
    <cacheHierarchy uniqueName="[Billing_Data].[PaymentMethod]" caption="PaymentMethod" attribute="1" defaultMemberUniqueName="[Billing_Data].[PaymentMethod].[All]" allUniqueName="[Billing_Data].[PaymentMethod].[All]" dimensionUniqueName="[Billing_Data]" displayFolder="" count="0" memberValueDatatype="130" unbalanced="0"/>
    <cacheHierarchy uniqueName="[Billing_Data].[SupportTickets]" caption="SupportTickets" attribute="1" defaultMemberUniqueName="[Billing_Data].[SupportTickets].[All]" allUniqueName="[Billing_Data].[SupportTickets].[All]" dimensionUniqueName="[Billing_Data]" displayFolder="" count="0" memberValueDatatype="20" unbalanced="0"/>
    <cacheHierarchy uniqueName="[Customers_Data].[CustomerID]" caption="CustomerID" attribute="1" defaultMemberUniqueName="[Customers_Data].[CustomerID].[All]" allUniqueName="[Customers_Data].[CustomerID].[All]" dimensionUniqueName="[Customers_Data]" displayFolder="" count="0" memberValueDatatype="130" unbalanced="0"/>
    <cacheHierarchy uniqueName="[Customers_Data].[FullName]" caption="FullName" attribute="1" defaultMemberUniqueName="[Customers_Data].[FullName].[All]" allUniqueName="[Customers_Data].[FullName].[All]" dimensionUniqueName="[Customers_Data]" displayFolder="" count="0" memberValueDatatype="130" unbalanced="0"/>
    <cacheHierarchy uniqueName="[Customers_Data].[Email]" caption="Email" attribute="1" defaultMemberUniqueName="[Customers_Data].[Email].[All]" allUniqueName="[Customers_Data].[Email].[All]" dimensionUniqueName="[Customers_Data]" displayFolder="" count="0" memberValueDatatype="130" unbalanced="0"/>
    <cacheHierarchy uniqueName="[Customers_Data].[Phone]" caption="Phone" attribute="1" defaultMemberUniqueName="[Customers_Data].[Phone].[All]" allUniqueName="[Customers_Data].[Phone].[All]" dimensionUniqueName="[Customers_Data]" displayFolder="" count="0" memberValueDatatype="130" unbalanced="0"/>
    <cacheHierarchy uniqueName="[Customers_Data].[Region]" caption="Region" attribute="1" defaultMemberUniqueName="[Customers_Data].[Region].[All]" allUniqueName="[Customers_Data].[Region].[All]" dimensionUniqueName="[Customers_Data]" displayFolder="" count="0" memberValueDatatype="130" unbalanced="0"/>
    <cacheHierarchy uniqueName="[Customers_Data].[State]" caption="State" attribute="1" defaultMemberUniqueName="[Customers_Data].[State].[All]" allUniqueName="[Customers_Data].[State].[All]" dimensionUniqueName="[Customers_Data]" displayFolder="" count="0" memberValueDatatype="130" unbalanced="0"/>
    <cacheHierarchy uniqueName="[Customers_Data].[JoinDate]" caption="JoinDate" attribute="1" time="1" defaultMemberUniqueName="[Customers_Data].[JoinDate].[All]" allUniqueName="[Customers_Data].[JoinDate].[All]" dimensionUniqueName="[Customers_Data]" displayFolder="" count="0" memberValueDatatype="7" unbalanced="0"/>
    <cacheHierarchy uniqueName="[Customers_Data].[PlanCode]" caption="PlanCode" attribute="1" defaultMemberUniqueName="[Customers_Data].[PlanCode].[All]" allUniqueName="[Customers_Data].[PlanCode].[All]" dimensionUniqueName="[Customers_Data]" displayFolder="" count="0" memberValueDatatype="130" unbalanced="0"/>
    <cacheHierarchy uniqueName="[Customers_Data].[Status]" caption="Status" attribute="1" defaultMemberUniqueName="[Customers_Data].[Status].[All]" allUniqueName="[Customers_Data].[Status].[All]" dimensionUniqueName="[Customers_Data]" displayFolder="" count="0" memberValueDatatype="130" unbalanced="0"/>
    <cacheHierarchy uniqueName="[Plans_Table].[PlanCode]" caption="PlanCode" attribute="1" defaultMemberUniqueName="[Plans_Table].[PlanCode].[All]" allUniqueName="[Plans_Table].[PlanCode].[All]" dimensionUniqueName="[Plans_Table]" displayFolder="" count="0" memberValueDatatype="130" unbalanced="0"/>
    <cacheHierarchy uniqueName="[Plans_Table].[PlanName]" caption="PlanName" attribute="1" defaultMemberUniqueName="[Plans_Table].[PlanName].[All]" allUniqueName="[Plans_Table].[PlanName].[All]" dimensionUniqueName="[Plans_Table]" displayFolder="" count="2" memberValueDatatype="130" unbalanced="0">
      <fieldsUsage count="2">
        <fieldUsage x="-1"/>
        <fieldUsage x="0"/>
      </fieldsUsage>
    </cacheHierarchy>
    <cacheHierarchy uniqueName="[Plans_Table].[BasePrice]" caption="BasePrice" attribute="1" defaultMemberUniqueName="[Plans_Table].[BasePrice].[All]" allUniqueName="[Plans_Table].[BasePrice].[All]" dimensionUniqueName="[Plans_Table]" displayFolder="" count="0" memberValueDatatype="20" unbalanced="0"/>
    <cacheHierarchy uniqueName="[Plans_Table].[DataLimit_GB]" caption="DataLimit_GB" attribute="1" defaultMemberUniqueName="[Plans_Table].[DataLimit_GB].[All]" allUniqueName="[Plans_Table].[DataLimit_GB].[All]" dimensionUniqueName="[Plans_Table]" displayFolder="" count="0" memberValueDatatype="20" unbalanced="0"/>
    <cacheHierarchy uniqueName="[Plans_Table].[Overcharge_PerGB]" caption="Overcharge_PerGB" attribute="1" defaultMemberUniqueName="[Plans_Table].[Overcharge_PerGB].[All]" allUniqueName="[Plans_Table].[Overcharge_PerGB].[All]" dimensionUniqueName="[Plans_Table]" displayFolder="" count="0" memberValueDatatype="20" unbalanced="0"/>
    <cacheHierarchy uniqueName="[Measures].[__XL_Count Billing_Data]" caption="__XL_Count Billing_Data" measure="1" displayFolder="" measureGroup="Billing_Data" count="0" hidden="1"/>
    <cacheHierarchy uniqueName="[Measures].[__XL_Count Customers_Data]" caption="__XL_Count Customers_Data" measure="1" displayFolder="" measureGroup="Customers_Data" count="0" hidden="1"/>
    <cacheHierarchy uniqueName="[Measures].[__XL_Count Plans_Table]" caption="__XL_Count Plans_Table" measure="1" displayFolder="" measureGroup="Plans_Tabl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Customers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lanCode]" caption="Count of PlanCode" measure="1" displayFolder="" measureGroup="Customer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Billing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taUsed_GB]" caption="Sum of DataUsed_GB" measure="1" displayFolder="" measureGroup="Bill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lanName]" caption="Count of PlanName" measure="1" displayFolder="" measureGroup="Plan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Billing_Data" uniqueName="[Billing_Data]" caption="Billing_Data"/>
    <dimension name="Customers_Data" uniqueName="[Customers_Data]" caption="Customers_Data"/>
    <dimension measure="1" name="Measures" uniqueName="[Measures]" caption="Measures"/>
    <dimension name="Plans_Table" uniqueName="[Plans_Table]" caption="Plans_Table"/>
  </dimensions>
  <measureGroups count="3">
    <measureGroup name="Billing_Data" caption="Billing_Data"/>
    <measureGroup name="Customers_Data" caption="Customers_Data"/>
    <measureGroup name="Plans_Table" caption="Plans_Table"/>
  </measureGroups>
  <maps count="6">
    <map measureGroup="0" dimension="0"/>
    <map measureGroup="0" dimension="1"/>
    <map measureGroup="0" dimension="3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55.761000694445" backgroundQuery="1" createdVersion="8" refreshedVersion="8" minRefreshableVersion="3" recordCount="0" supportSubquery="1" supportAdvancedDrill="1" xr:uid="{7303892D-41BB-4FE4-9078-7267D53EFF51}">
  <cacheSource type="external" connectionId="4"/>
  <cacheFields count="2">
    <cacheField name="[Measures].[Count of CustomerID]" caption="Count of CustomerID" numFmtId="0" hierarchy="25" level="32767"/>
    <cacheField name="[Customers_Data].[State].[State]" caption="State" numFmtId="0" hierarchy="12" level="1">
      <sharedItems count="12">
        <s v="Abuja"/>
        <s v="Anambra"/>
        <s v="Delta"/>
        <s v="Enugu"/>
        <s v="Kaduna"/>
        <s v="Kano"/>
        <s v="Kwara"/>
        <s v="Lagos"/>
        <s v="Ogun"/>
        <s v="Oyo"/>
        <s v="Plateau"/>
        <s v="Rivers"/>
      </sharedItems>
    </cacheField>
  </cacheFields>
  <cacheHierarchies count="30">
    <cacheHierarchy uniqueName="[Billing_Data].[TransactionID]" caption="TransactionID" attribute="1" defaultMemberUniqueName="[Billing_Data].[TransactionID].[All]" allUniqueName="[Billing_Data].[TransactionID].[All]" dimensionUniqueName="[Billing_Data]" displayFolder="" count="0" memberValueDatatype="130" unbalanced="0"/>
    <cacheHierarchy uniqueName="[Billing_Data].[CustomerID]" caption="CustomerID" attribute="1" defaultMemberUniqueName="[Billing_Data].[CustomerID].[All]" allUniqueName="[Billing_Data].[CustomerID].[All]" dimensionUniqueName="[Billing_Data]" displayFolder="" count="0" memberValueDatatype="130" unbalanced="0"/>
    <cacheHierarchy uniqueName="[Billing_Data].[BillingMonth]" caption="BillingMonth" attribute="1" time="1" defaultMemberUniqueName="[Billing_Data].[BillingMonth].[All]" allUniqueName="[Billing_Data].[BillingMonth].[All]" dimensionUniqueName="[Billing_Data]" displayFolder="" count="0" memberValueDatatype="7" unbalanced="0"/>
    <cacheHierarchy uniqueName="[Billing_Data].[DataUsed_GB]" caption="DataUsed_GB" attribute="1" defaultMemberUniqueName="[Billing_Data].[DataUsed_GB].[All]" allUniqueName="[Billing_Data].[DataUsed_GB].[All]" dimensionUniqueName="[Billing_Data]" displayFolder="" count="0" memberValueDatatype="5" unbalanced="0"/>
    <cacheHierarchy uniqueName="[Billing_Data].[PaymentStatus]" caption="PaymentStatus" attribute="1" defaultMemberUniqueName="[Billing_Data].[PaymentStatus].[All]" allUniqueName="[Billing_Data].[PaymentStatus].[All]" dimensionUniqueName="[Billing_Data]" displayFolder="" count="0" memberValueDatatype="130" unbalanced="0"/>
    <cacheHierarchy uniqueName="[Billing_Data].[PaymentMethod]" caption="PaymentMethod" attribute="1" defaultMemberUniqueName="[Billing_Data].[PaymentMethod].[All]" allUniqueName="[Billing_Data].[PaymentMethod].[All]" dimensionUniqueName="[Billing_Data]" displayFolder="" count="0" memberValueDatatype="130" unbalanced="0"/>
    <cacheHierarchy uniqueName="[Billing_Data].[SupportTickets]" caption="SupportTickets" attribute="1" defaultMemberUniqueName="[Billing_Data].[SupportTickets].[All]" allUniqueName="[Billing_Data].[SupportTickets].[All]" dimensionUniqueName="[Billing_Data]" displayFolder="" count="0" memberValueDatatype="20" unbalanced="0"/>
    <cacheHierarchy uniqueName="[Customers_Data].[CustomerID]" caption="CustomerID" attribute="1" defaultMemberUniqueName="[Customers_Data].[CustomerID].[All]" allUniqueName="[Customers_Data].[CustomerID].[All]" dimensionUniqueName="[Customers_Data]" displayFolder="" count="0" memberValueDatatype="130" unbalanced="0"/>
    <cacheHierarchy uniqueName="[Customers_Data].[FullName]" caption="FullName" attribute="1" defaultMemberUniqueName="[Customers_Data].[FullName].[All]" allUniqueName="[Customers_Data].[FullName].[All]" dimensionUniqueName="[Customers_Data]" displayFolder="" count="0" memberValueDatatype="130" unbalanced="0"/>
    <cacheHierarchy uniqueName="[Customers_Data].[Email]" caption="Email" attribute="1" defaultMemberUniqueName="[Customers_Data].[Email].[All]" allUniqueName="[Customers_Data].[Email].[All]" dimensionUniqueName="[Customers_Data]" displayFolder="" count="0" memberValueDatatype="130" unbalanced="0"/>
    <cacheHierarchy uniqueName="[Customers_Data].[Phone]" caption="Phone" attribute="1" defaultMemberUniqueName="[Customers_Data].[Phone].[All]" allUniqueName="[Customers_Data].[Phone].[All]" dimensionUniqueName="[Customers_Data]" displayFolder="" count="0" memberValueDatatype="130" unbalanced="0"/>
    <cacheHierarchy uniqueName="[Customers_Data].[Region]" caption="Region" attribute="1" defaultMemberUniqueName="[Customers_Data].[Region].[All]" allUniqueName="[Customers_Data].[Region].[All]" dimensionUniqueName="[Customers_Data]" displayFolder="" count="0" memberValueDatatype="130" unbalanced="0"/>
    <cacheHierarchy uniqueName="[Customers_Data].[State]" caption="State" attribute="1" defaultMemberUniqueName="[Customers_Data].[State].[All]" allUniqueName="[Customers_Data].[State].[All]" dimensionUniqueName="[Customers_Data]" displayFolder="" count="2" memberValueDatatype="130" unbalanced="0">
      <fieldsUsage count="2">
        <fieldUsage x="-1"/>
        <fieldUsage x="1"/>
      </fieldsUsage>
    </cacheHierarchy>
    <cacheHierarchy uniqueName="[Customers_Data].[JoinDate]" caption="JoinDate" attribute="1" time="1" defaultMemberUniqueName="[Customers_Data].[JoinDate].[All]" allUniqueName="[Customers_Data].[JoinDate].[All]" dimensionUniqueName="[Customers_Data]" displayFolder="" count="0" memberValueDatatype="7" unbalanced="0"/>
    <cacheHierarchy uniqueName="[Customers_Data].[PlanCode]" caption="PlanCode" attribute="1" defaultMemberUniqueName="[Customers_Data].[PlanCode].[All]" allUniqueName="[Customers_Data].[PlanCode].[All]" dimensionUniqueName="[Customers_Data]" displayFolder="" count="0" memberValueDatatype="130" unbalanced="0"/>
    <cacheHierarchy uniqueName="[Customers_Data].[Status]" caption="Status" attribute="1" defaultMemberUniqueName="[Customers_Data].[Status].[All]" allUniqueName="[Customers_Data].[Status].[All]" dimensionUniqueName="[Customers_Data]" displayFolder="" count="0" memberValueDatatype="130" unbalanced="0"/>
    <cacheHierarchy uniqueName="[Plans_Table].[PlanCode]" caption="PlanCode" attribute="1" defaultMemberUniqueName="[Plans_Table].[PlanCode].[All]" allUniqueName="[Plans_Table].[PlanCode].[All]" dimensionUniqueName="[Plans_Table]" displayFolder="" count="0" memberValueDatatype="130" unbalanced="0"/>
    <cacheHierarchy uniqueName="[Plans_Table].[PlanName]" caption="PlanName" attribute="1" defaultMemberUniqueName="[Plans_Table].[PlanName].[All]" allUniqueName="[Plans_Table].[PlanName].[All]" dimensionUniqueName="[Plans_Table]" displayFolder="" count="0" memberValueDatatype="130" unbalanced="0"/>
    <cacheHierarchy uniqueName="[Plans_Table].[BasePrice]" caption="BasePrice" attribute="1" defaultMemberUniqueName="[Plans_Table].[BasePrice].[All]" allUniqueName="[Plans_Table].[BasePrice].[All]" dimensionUniqueName="[Plans_Table]" displayFolder="" count="0" memberValueDatatype="20" unbalanced="0"/>
    <cacheHierarchy uniqueName="[Plans_Table].[DataLimit_GB]" caption="DataLimit_GB" attribute="1" defaultMemberUniqueName="[Plans_Table].[DataLimit_GB].[All]" allUniqueName="[Plans_Table].[DataLimit_GB].[All]" dimensionUniqueName="[Plans_Table]" displayFolder="" count="0" memberValueDatatype="20" unbalanced="0"/>
    <cacheHierarchy uniqueName="[Plans_Table].[Overcharge_PerGB]" caption="Overcharge_PerGB" attribute="1" defaultMemberUniqueName="[Plans_Table].[Overcharge_PerGB].[All]" allUniqueName="[Plans_Table].[Overcharge_PerGB].[All]" dimensionUniqueName="[Plans_Table]" displayFolder="" count="0" memberValueDatatype="20" unbalanced="0"/>
    <cacheHierarchy uniqueName="[Measures].[__XL_Count Billing_Data]" caption="__XL_Count Billing_Data" measure="1" displayFolder="" measureGroup="Billing_Data" count="0" hidden="1"/>
    <cacheHierarchy uniqueName="[Measures].[__XL_Count Customers_Data]" caption="__XL_Count Customers_Data" measure="1" displayFolder="" measureGroup="Customers_Data" count="0" hidden="1"/>
    <cacheHierarchy uniqueName="[Measures].[__XL_Count Plans_Table]" caption="__XL_Count Plans_Table" measure="1" displayFolder="" measureGroup="Plans_Table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Customer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PlanCode]" caption="Count of PlanCode" measure="1" displayFolder="" measureGroup="Customers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TransactionID]" caption="Count of TransactionID" measure="1" displayFolder="" measureGroup="Billing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taUsed_GB]" caption="Sum of DataUsed_GB" measure="1" displayFolder="" measureGroup="Billing_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lanName]" caption="Count of PlanName" measure="1" displayFolder="" measureGroup="Plan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4">
    <dimension name="Billing_Data" uniqueName="[Billing_Data]" caption="Billing_Data"/>
    <dimension name="Customers_Data" uniqueName="[Customers_Data]" caption="Customers_Data"/>
    <dimension measure="1" name="Measures" uniqueName="[Measures]" caption="Measures"/>
    <dimension name="Plans_Table" uniqueName="[Plans_Table]" caption="Plans_Table"/>
  </dimensions>
  <measureGroups count="3">
    <measureGroup name="Billing_Data" caption="Billing_Data"/>
    <measureGroup name="Customers_Data" caption="Customers_Data"/>
    <measureGroup name="Plans_Table" caption="Plans_Table"/>
  </measureGroups>
  <maps count="6">
    <map measureGroup="0" dimension="0"/>
    <map measureGroup="0" dimension="1"/>
    <map measureGroup="0" dimension="3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8CF27-0AE8-4F17-83BA-2439CF05B48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">
  <location ref="G3:H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name="Count of PlanCode" fld="1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_Data]"/>
        <x15:activeTabTopLevelEntity name="[Plan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05EDC-C749-4439-AC52-BE5076F28F4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D3:E16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3">
    <i>
      <x v="7"/>
    </i>
    <i>
      <x v="5"/>
    </i>
    <i>
      <x/>
    </i>
    <i>
      <x v="10"/>
    </i>
    <i>
      <x v="1"/>
    </i>
    <i>
      <x v="3"/>
    </i>
    <i>
      <x v="4"/>
    </i>
    <i>
      <x v="11"/>
    </i>
    <i>
      <x v="2"/>
    </i>
    <i>
      <x v="8"/>
    </i>
    <i>
      <x v="9"/>
    </i>
    <i>
      <x v="6"/>
    </i>
    <i t="grand">
      <x/>
    </i>
  </rowItems>
  <colItems count="1">
    <i/>
  </colItems>
  <dataFields count="1">
    <dataField name="Customer Count" fld="0" subtotal="count" baseField="1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ustomer C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Customers_Data">
        <x15:activeTabTopLevelEntity name="[Customer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A80F9-73CC-48D0-AAB1-218DD8BE74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stomers Count" fld="1" subtotal="count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ustomers Coun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Customers_Data">
        <x15:activeTabTopLevelEntity name="[Customer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71C54-CE30-49F7-8362-8E0621160A8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" colHeaderCaption="Sum of Data Used by Plan Type">
  <location ref="A19:F31" firstHeaderRow="1" firstDataRow="2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11">
    <i>
      <x v="8"/>
    </i>
    <i>
      <x v="4"/>
    </i>
    <i>
      <x v="3"/>
    </i>
    <i>
      <x v="2"/>
    </i>
    <i>
      <x v="1"/>
    </i>
    <i>
      <x v="5"/>
    </i>
    <i>
      <x v="6"/>
    </i>
    <i>
      <x v="7"/>
    </i>
    <i>
      <x/>
    </i>
    <i>
      <x v="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Top 10 Customers" fld="1" baseField="0" baseItem="0"/>
  </dataField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p 10 Customers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lling_Data]"/>
        <x15:activeTabTopLevelEntity name="[Plans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7DCE5E-9300-4037-AAF0-1CD66C3624F6}" autoFormatId="16" applyNumberFormats="0" applyBorderFormats="0" applyFontFormats="0" applyPatternFormats="0" applyAlignmentFormats="0" applyWidthHeightFormats="0">
  <queryTableRefresh nextId="23">
    <queryTableFields count="9">
      <queryTableField id="1" name="CustomerID" tableColumnId="1"/>
      <queryTableField id="10" dataBound="0" tableColumnId="10"/>
      <queryTableField id="12" dataBound="0" tableColumnId="12"/>
      <queryTableField id="14" dataBound="0" tableColumnId="14"/>
      <queryTableField id="3" name="Email" tableColumnId="3"/>
      <queryTableField id="6" name="State" tableColumnId="6"/>
      <queryTableField id="7" name="JoinDate" tableColumnId="7"/>
      <queryTableField id="8" name="PlanCode" tableColumnId="8"/>
      <queryTableField id="9" name="Status" tableColumnId="9"/>
    </queryTableFields>
    <queryTableDeletedFields count="6">
      <deletedField name="FullName"/>
      <deletedField name="Phone"/>
      <deletedField name="Region"/>
      <deletedField name="FullName"/>
      <deletedField name="Region"/>
      <deletedField name="Phon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328FF54-8434-4038-88E1-5C83897F859B}" autoFormatId="16" applyNumberFormats="0" applyBorderFormats="0" applyFontFormats="0" applyPatternFormats="0" applyAlignmentFormats="0" applyWidthHeightFormats="0">
  <queryTableRefresh nextId="6">
    <queryTableFields count="5">
      <queryTableField id="1" name="PlanCode" tableColumnId="1"/>
      <queryTableField id="2" name="PlanName" tableColumnId="2"/>
      <queryTableField id="3" name="BasePrice" tableColumnId="3"/>
      <queryTableField id="4" name="DataLimit_GB" tableColumnId="4"/>
      <queryTableField id="5" name="Overcharge_PerGB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1A87F-C7CB-4786-A4F6-946083CEB13E}" autoFormatId="16" applyNumberFormats="0" applyBorderFormats="0" applyFontFormats="0" applyPatternFormats="0" applyAlignmentFormats="0" applyWidthHeightFormats="0">
  <queryTableRefresh nextId="9">
    <queryTableFields count="7">
      <queryTableField id="1" name="TransactionID" tableColumnId="1"/>
      <queryTableField id="2" name="CustomerID" tableColumnId="2"/>
      <queryTableField id="3" name="BillingMonth" tableColumnId="3"/>
      <queryTableField id="4" name="DataUsed_GB" tableColumnId="4"/>
      <queryTableField id="5" name="PaymentStatus" tableColumnId="5"/>
      <queryTableField id="6" name="PaymentMethod" tableColumnId="6"/>
      <queryTableField id="7" name="SupportTicket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EFEA5-873E-42CC-B3ED-96089B88F5F8}" name="Customers_Data" displayName="Customers_Data" ref="A1:I126" tableType="queryTable" totalsRowShown="0">
  <autoFilter ref="A1:I126" xr:uid="{59AEFEA5-873E-42CC-B3ED-96089B88F5F8}"/>
  <tableColumns count="9">
    <tableColumn id="1" xr3:uid="{BD056297-6CC8-495E-9E1D-AB7BF8062DF1}" uniqueName="1" name="CustomerID" queryTableFieldId="1" dataDxfId="20"/>
    <tableColumn id="10" xr3:uid="{BFBC7410-1B4B-4C56-A97E-BE353CBDE38F}" uniqueName="10" name="FullName" queryTableFieldId="10" dataDxfId="19"/>
    <tableColumn id="12" xr3:uid="{EF71DADA-996C-424D-899B-AA4D902677B3}" uniqueName="12" name="Phone" queryTableFieldId="12" dataDxfId="18"/>
    <tableColumn id="14" xr3:uid="{95CED5AE-E539-40E7-AFC0-042C6453C01B}" uniqueName="14" name="Region" queryTableFieldId="14" dataDxfId="17"/>
    <tableColumn id="3" xr3:uid="{637B3A97-3E31-4E2F-94C2-CB83ABAF787B}" uniqueName="3" name="Email" queryTableFieldId="3" dataDxfId="16"/>
    <tableColumn id="6" xr3:uid="{02A383E8-893B-4E19-B0CE-76B3620252B3}" uniqueName="6" name="State" queryTableFieldId="6" dataDxfId="15"/>
    <tableColumn id="7" xr3:uid="{E2DA4506-BC3B-4BEB-AC52-54328C776A2C}" uniqueName="7" name="JoinDate" queryTableFieldId="7" dataDxfId="14"/>
    <tableColumn id="8" xr3:uid="{F6B6E690-4616-4E14-83CC-1A595E4081CA}" uniqueName="8" name="PlanCode" queryTableFieldId="8" dataDxfId="13"/>
    <tableColumn id="9" xr3:uid="{6A91BEE4-B0D0-4D5F-A3B9-64A810BEDC1D}" uniqueName="9" name="Status" queryTableFieldId="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689C63-74AF-4ED9-9EE3-03EB26E1054E}" name="Plans_Table" displayName="Plans_Table" ref="A1:E6" tableType="queryTable" totalsRowShown="0">
  <autoFilter ref="A1:E6" xr:uid="{39689C63-74AF-4ED9-9EE3-03EB26E1054E}"/>
  <tableColumns count="5">
    <tableColumn id="1" xr3:uid="{A9ED0679-27C3-46C1-BBF3-C3C90759EC2F}" uniqueName="1" name="PlanCode" queryTableFieldId="1" dataDxfId="11"/>
    <tableColumn id="2" xr3:uid="{BE3C2C1B-F0D2-4F1B-886B-804ADFD06638}" uniqueName="2" name="PlanName" queryTableFieldId="2" dataDxfId="10"/>
    <tableColumn id="3" xr3:uid="{A5BE35AF-B133-4904-86C8-7C0003ADE902}" uniqueName="3" name="BasePrice" queryTableFieldId="3"/>
    <tableColumn id="4" xr3:uid="{FE540CA8-5EA1-4D8A-A542-1261A7F9ED9C}" uniqueName="4" name="DataLimit_GB" queryTableFieldId="4"/>
    <tableColumn id="5" xr3:uid="{3272977A-C6A6-4CC0-89F7-941384D95899}" uniqueName="5" name="Overcharge_PerGB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06D4B3-2F1F-4008-9536-910395AC3295}" name="Billing_Data" displayName="Billing_Data" ref="A1:G231" tableType="queryTable" totalsRowCount="1">
  <autoFilter ref="A1:G230" xr:uid="{2206D4B3-2F1F-4008-9536-910395AC3295}"/>
  <tableColumns count="7">
    <tableColumn id="1" xr3:uid="{E5B88410-E776-4E25-927F-EA6E929F8DF0}" uniqueName="1" name="TransactionID" queryTableFieldId="1" dataDxfId="9" totalsRowDxfId="8"/>
    <tableColumn id="2" xr3:uid="{08E97A30-9953-4326-AC32-E05C58D32B56}" uniqueName="2" name="CustomerID" queryTableFieldId="2" dataDxfId="7" totalsRowDxfId="6"/>
    <tableColumn id="3" xr3:uid="{288A4F80-5669-42DB-BFE0-2AC72AE97D17}" uniqueName="3" name="BillingMonth" queryTableFieldId="3" dataDxfId="5" totalsRowDxfId="4"/>
    <tableColumn id="4" xr3:uid="{49A232AC-3A8A-4EEC-BB20-5BFCD0EEFFA0}" uniqueName="4" name="DataUsed_GB" totalsRowFunction="custom" queryTableFieldId="4">
      <totalsRowFormula>MAX(D2:D230)</totalsRowFormula>
    </tableColumn>
    <tableColumn id="5" xr3:uid="{69C6A4D1-FAA8-4DBE-8886-EA87B7466929}" uniqueName="5" name="PaymentStatus" queryTableFieldId="5" dataDxfId="3" totalsRowDxfId="2"/>
    <tableColumn id="6" xr3:uid="{7B696E57-49BC-4168-87FF-EA7F41E8CB63}" uniqueName="6" name="PaymentMethod" queryTableFieldId="6" dataDxfId="1" totalsRowDxfId="0"/>
    <tableColumn id="7" xr3:uid="{FAD9FEEB-E8C6-4284-936C-D8FF75F6578B}" uniqueName="7" name="SupportTicket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A8D0-F8E3-4F3D-8224-30CFF4172BB2}">
  <dimension ref="A1:I126"/>
  <sheetViews>
    <sheetView tabSelected="1" workbookViewId="0">
      <selection activeCell="C2" sqref="C2"/>
    </sheetView>
  </sheetViews>
  <sheetFormatPr defaultRowHeight="15" x14ac:dyDescent="0.25"/>
  <cols>
    <col min="1" max="1" width="14.28515625" bestFit="1" customWidth="1"/>
    <col min="2" max="2" width="20.140625" customWidth="1"/>
    <col min="3" max="3" width="12" bestFit="1" customWidth="1"/>
    <col min="4" max="4" width="13.140625" bestFit="1" customWidth="1"/>
    <col min="5" max="5" width="34" bestFit="1" customWidth="1"/>
    <col min="7" max="7" width="11.140625" bestFit="1" customWidth="1"/>
    <col min="8" max="8" width="12" bestFit="1" customWidth="1"/>
    <col min="9" max="9" width="10.7109375" bestFit="1" customWidth="1"/>
  </cols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327</v>
      </c>
      <c r="C2" s="1" t="s">
        <v>375</v>
      </c>
      <c r="D2" s="1" t="s">
        <v>11</v>
      </c>
      <c r="E2" s="1" t="s">
        <v>10</v>
      </c>
      <c r="F2" s="1" t="s">
        <v>12</v>
      </c>
      <c r="G2" s="2">
        <v>44951</v>
      </c>
      <c r="H2" s="1" t="s">
        <v>13</v>
      </c>
      <c r="I2" s="1" t="s">
        <v>14</v>
      </c>
    </row>
    <row r="3" spans="1:9" x14ac:dyDescent="0.25">
      <c r="A3" s="1" t="s">
        <v>15</v>
      </c>
      <c r="B3" s="1" t="s">
        <v>328</v>
      </c>
      <c r="C3" s="1" t="s">
        <v>17</v>
      </c>
      <c r="D3" s="1" t="s">
        <v>18</v>
      </c>
      <c r="E3" s="1" t="s">
        <v>16</v>
      </c>
      <c r="F3" s="1" t="s">
        <v>19</v>
      </c>
      <c r="G3" s="2">
        <v>45126</v>
      </c>
      <c r="H3" s="1" t="s">
        <v>20</v>
      </c>
      <c r="I3" s="1" t="s">
        <v>14</v>
      </c>
    </row>
    <row r="4" spans="1:9" x14ac:dyDescent="0.25">
      <c r="A4" s="1" t="s">
        <v>21</v>
      </c>
      <c r="B4" s="1" t="s">
        <v>22</v>
      </c>
      <c r="C4" s="1" t="s">
        <v>376</v>
      </c>
      <c r="D4" s="1" t="s">
        <v>24</v>
      </c>
      <c r="E4" s="1" t="s">
        <v>23</v>
      </c>
      <c r="F4" s="1" t="s">
        <v>25</v>
      </c>
      <c r="G4" s="2">
        <v>45221</v>
      </c>
      <c r="H4" s="1" t="s">
        <v>20</v>
      </c>
      <c r="I4" s="1" t="s">
        <v>14</v>
      </c>
    </row>
    <row r="5" spans="1:9" x14ac:dyDescent="0.25">
      <c r="A5" s="1" t="s">
        <v>26</v>
      </c>
      <c r="B5" s="1" t="s">
        <v>329</v>
      </c>
      <c r="C5" s="1" t="s">
        <v>377</v>
      </c>
      <c r="D5" s="1" t="s">
        <v>28</v>
      </c>
      <c r="E5" s="1" t="s">
        <v>27</v>
      </c>
      <c r="F5" s="1" t="s">
        <v>29</v>
      </c>
      <c r="G5" s="2">
        <v>45099</v>
      </c>
      <c r="H5" s="1" t="s">
        <v>20</v>
      </c>
      <c r="I5" s="1" t="s">
        <v>14</v>
      </c>
    </row>
    <row r="6" spans="1:9" x14ac:dyDescent="0.25">
      <c r="A6" s="1" t="s">
        <v>30</v>
      </c>
      <c r="B6" s="1" t="s">
        <v>31</v>
      </c>
      <c r="C6" s="1" t="s">
        <v>378</v>
      </c>
      <c r="D6" s="1" t="s">
        <v>33</v>
      </c>
      <c r="E6" s="1" t="s">
        <v>32</v>
      </c>
      <c r="F6" s="1" t="s">
        <v>34</v>
      </c>
      <c r="G6" s="2">
        <v>44942</v>
      </c>
      <c r="H6" s="1" t="s">
        <v>35</v>
      </c>
      <c r="I6" s="1" t="s">
        <v>14</v>
      </c>
    </row>
    <row r="7" spans="1:9" x14ac:dyDescent="0.25">
      <c r="A7" s="1" t="s">
        <v>36</v>
      </c>
      <c r="B7" s="1" t="s">
        <v>330</v>
      </c>
      <c r="C7" s="1" t="s">
        <v>379</v>
      </c>
      <c r="D7" s="1" t="s">
        <v>18</v>
      </c>
      <c r="E7" s="1" t="s">
        <v>37</v>
      </c>
      <c r="F7" s="1" t="s">
        <v>19</v>
      </c>
      <c r="G7" s="2">
        <v>45127</v>
      </c>
      <c r="H7" s="1" t="s">
        <v>35</v>
      </c>
      <c r="I7" s="1" t="s">
        <v>14</v>
      </c>
    </row>
    <row r="8" spans="1:9" x14ac:dyDescent="0.25">
      <c r="A8" s="1" t="s">
        <v>38</v>
      </c>
      <c r="B8" s="1" t="s">
        <v>331</v>
      </c>
      <c r="C8" s="1" t="s">
        <v>380</v>
      </c>
      <c r="D8" s="1" t="s">
        <v>33</v>
      </c>
      <c r="E8" s="1" t="s">
        <v>39</v>
      </c>
      <c r="F8" s="1" t="s">
        <v>34</v>
      </c>
      <c r="G8" s="2">
        <v>45280</v>
      </c>
      <c r="H8" s="1" t="s">
        <v>20</v>
      </c>
      <c r="I8" s="1" t="s">
        <v>40</v>
      </c>
    </row>
    <row r="9" spans="1:9" x14ac:dyDescent="0.25">
      <c r="A9" s="1" t="s">
        <v>41</v>
      </c>
      <c r="B9" s="1" t="s">
        <v>31</v>
      </c>
      <c r="C9" s="1" t="s">
        <v>381</v>
      </c>
      <c r="D9" s="1" t="s">
        <v>11</v>
      </c>
      <c r="E9" s="1" t="s">
        <v>32</v>
      </c>
      <c r="F9" s="1" t="s">
        <v>42</v>
      </c>
      <c r="G9" s="2">
        <v>45331</v>
      </c>
      <c r="H9" s="1" t="s">
        <v>43</v>
      </c>
      <c r="I9" s="1" t="s">
        <v>14</v>
      </c>
    </row>
    <row r="10" spans="1:9" x14ac:dyDescent="0.25">
      <c r="A10" s="1" t="s">
        <v>44</v>
      </c>
      <c r="B10" s="1" t="s">
        <v>45</v>
      </c>
      <c r="C10" s="1" t="s">
        <v>382</v>
      </c>
      <c r="D10" s="1" t="s">
        <v>28</v>
      </c>
      <c r="E10" s="1" t="s">
        <v>46</v>
      </c>
      <c r="F10" s="1" t="s">
        <v>47</v>
      </c>
      <c r="G10" s="2">
        <v>45037</v>
      </c>
      <c r="H10" s="1" t="s">
        <v>35</v>
      </c>
      <c r="I10" s="1" t="s">
        <v>14</v>
      </c>
    </row>
    <row r="11" spans="1:9" x14ac:dyDescent="0.25">
      <c r="A11" s="1" t="s">
        <v>48</v>
      </c>
      <c r="B11" s="1" t="s">
        <v>332</v>
      </c>
      <c r="C11" s="1" t="s">
        <v>383</v>
      </c>
      <c r="D11" s="1" t="s">
        <v>11</v>
      </c>
      <c r="E11" s="1" t="s">
        <v>17</v>
      </c>
      <c r="F11" s="1" t="s">
        <v>12</v>
      </c>
      <c r="G11" s="2">
        <v>45171</v>
      </c>
      <c r="H11" s="1" t="s">
        <v>35</v>
      </c>
      <c r="I11" s="1" t="s">
        <v>14</v>
      </c>
    </row>
    <row r="12" spans="1:9" x14ac:dyDescent="0.25">
      <c r="A12" s="1" t="s">
        <v>49</v>
      </c>
      <c r="B12" s="1" t="s">
        <v>333</v>
      </c>
      <c r="C12" s="1" t="s">
        <v>17</v>
      </c>
      <c r="D12" s="1" t="s">
        <v>33</v>
      </c>
      <c r="E12" s="1" t="s">
        <v>50</v>
      </c>
      <c r="F12" s="1" t="s">
        <v>17</v>
      </c>
      <c r="G12" s="2">
        <v>45412</v>
      </c>
      <c r="H12" s="1" t="s">
        <v>13</v>
      </c>
      <c r="I12" s="1" t="s">
        <v>14</v>
      </c>
    </row>
    <row r="13" spans="1:9" x14ac:dyDescent="0.25">
      <c r="A13" s="1" t="s">
        <v>51</v>
      </c>
      <c r="B13" s="1" t="s">
        <v>334</v>
      </c>
      <c r="C13" s="1" t="s">
        <v>384</v>
      </c>
      <c r="D13" s="1" t="s">
        <v>24</v>
      </c>
      <c r="E13" s="1" t="s">
        <v>52</v>
      </c>
      <c r="F13" s="1" t="s">
        <v>17</v>
      </c>
      <c r="G13" s="2">
        <v>45200</v>
      </c>
      <c r="H13" s="1" t="s">
        <v>20</v>
      </c>
      <c r="I13" s="1" t="s">
        <v>40</v>
      </c>
    </row>
    <row r="14" spans="1:9" x14ac:dyDescent="0.25">
      <c r="A14" s="1" t="s">
        <v>53</v>
      </c>
      <c r="B14" s="1" t="s">
        <v>335</v>
      </c>
      <c r="C14" s="1" t="s">
        <v>385</v>
      </c>
      <c r="D14" s="1" t="s">
        <v>11</v>
      </c>
      <c r="E14" s="1" t="s">
        <v>54</v>
      </c>
      <c r="F14" s="1" t="s">
        <v>17</v>
      </c>
      <c r="G14" s="2">
        <v>45120</v>
      </c>
      <c r="H14" s="1" t="s">
        <v>35</v>
      </c>
      <c r="I14" s="1" t="s">
        <v>14</v>
      </c>
    </row>
    <row r="15" spans="1:9" x14ac:dyDescent="0.25">
      <c r="A15" s="1" t="s">
        <v>55</v>
      </c>
      <c r="B15" s="1" t="s">
        <v>336</v>
      </c>
      <c r="C15" s="1" t="s">
        <v>386</v>
      </c>
      <c r="D15" s="1" t="s">
        <v>33</v>
      </c>
      <c r="E15" s="1" t="s">
        <v>56</v>
      </c>
      <c r="F15" s="1" t="s">
        <v>17</v>
      </c>
      <c r="G15" s="2">
        <v>45086</v>
      </c>
      <c r="H15" s="1" t="s">
        <v>35</v>
      </c>
      <c r="I15" s="1" t="s">
        <v>14</v>
      </c>
    </row>
    <row r="16" spans="1:9" x14ac:dyDescent="0.25">
      <c r="A16" s="1" t="s">
        <v>57</v>
      </c>
      <c r="B16" s="1" t="s">
        <v>337</v>
      </c>
      <c r="C16" s="1" t="s">
        <v>387</v>
      </c>
      <c r="D16" s="1" t="s">
        <v>18</v>
      </c>
      <c r="E16" s="1" t="s">
        <v>58</v>
      </c>
      <c r="F16" s="1" t="s">
        <v>17</v>
      </c>
      <c r="G16" s="2">
        <v>45001</v>
      </c>
      <c r="H16" s="1" t="s">
        <v>59</v>
      </c>
      <c r="I16" s="1" t="s">
        <v>60</v>
      </c>
    </row>
    <row r="17" spans="1:9" x14ac:dyDescent="0.25">
      <c r="A17" s="1" t="s">
        <v>61</v>
      </c>
      <c r="B17" s="1" t="s">
        <v>338</v>
      </c>
      <c r="C17" s="1" t="s">
        <v>17</v>
      </c>
      <c r="D17" s="1" t="s">
        <v>24</v>
      </c>
      <c r="E17" s="1" t="s">
        <v>62</v>
      </c>
      <c r="F17" s="1" t="s">
        <v>17</v>
      </c>
      <c r="G17" s="2">
        <v>45242</v>
      </c>
      <c r="H17" s="1" t="s">
        <v>59</v>
      </c>
      <c r="I17" s="1" t="s">
        <v>14</v>
      </c>
    </row>
    <row r="18" spans="1:9" x14ac:dyDescent="0.25">
      <c r="A18" s="1" t="s">
        <v>63</v>
      </c>
      <c r="B18" s="1" t="s">
        <v>339</v>
      </c>
      <c r="C18" s="1" t="s">
        <v>388</v>
      </c>
      <c r="D18" s="1" t="s">
        <v>24</v>
      </c>
      <c r="E18" s="1" t="s">
        <v>64</v>
      </c>
      <c r="F18" s="1" t="s">
        <v>25</v>
      </c>
      <c r="G18" s="2">
        <v>45107</v>
      </c>
      <c r="H18" s="1" t="s">
        <v>13</v>
      </c>
      <c r="I18" s="1" t="s">
        <v>14</v>
      </c>
    </row>
    <row r="19" spans="1:9" x14ac:dyDescent="0.25">
      <c r="A19" s="1" t="s">
        <v>65</v>
      </c>
      <c r="B19" s="1" t="s">
        <v>338</v>
      </c>
      <c r="C19" s="1" t="s">
        <v>389</v>
      </c>
      <c r="D19" s="1" t="s">
        <v>18</v>
      </c>
      <c r="E19" s="1" t="s">
        <v>62</v>
      </c>
      <c r="F19" s="1" t="s">
        <v>19</v>
      </c>
      <c r="G19" s="2">
        <v>45412</v>
      </c>
      <c r="H19" s="1" t="s">
        <v>20</v>
      </c>
      <c r="I19" s="1" t="s">
        <v>14</v>
      </c>
    </row>
    <row r="20" spans="1:9" x14ac:dyDescent="0.25">
      <c r="A20" s="1" t="s">
        <v>66</v>
      </c>
      <c r="B20" s="1" t="s">
        <v>340</v>
      </c>
      <c r="C20" s="1" t="s">
        <v>17</v>
      </c>
      <c r="D20" s="1" t="s">
        <v>33</v>
      </c>
      <c r="E20" s="1" t="s">
        <v>17</v>
      </c>
      <c r="F20" s="1" t="s">
        <v>67</v>
      </c>
      <c r="G20" s="2">
        <v>45034</v>
      </c>
      <c r="H20" s="1" t="s">
        <v>13</v>
      </c>
      <c r="I20" s="1" t="s">
        <v>14</v>
      </c>
    </row>
    <row r="21" spans="1:9" x14ac:dyDescent="0.25">
      <c r="A21" s="1" t="s">
        <v>68</v>
      </c>
      <c r="B21" s="1" t="s">
        <v>333</v>
      </c>
      <c r="C21" s="1" t="s">
        <v>390</v>
      </c>
      <c r="D21" s="1" t="s">
        <v>24</v>
      </c>
      <c r="E21" s="1" t="s">
        <v>50</v>
      </c>
      <c r="F21" s="1" t="s">
        <v>69</v>
      </c>
      <c r="G21" s="2">
        <v>45133</v>
      </c>
      <c r="H21" s="1" t="s">
        <v>43</v>
      </c>
      <c r="I21" s="1" t="s">
        <v>14</v>
      </c>
    </row>
    <row r="22" spans="1:9" x14ac:dyDescent="0.25">
      <c r="A22" s="1" t="s">
        <v>70</v>
      </c>
      <c r="B22" s="1" t="s">
        <v>341</v>
      </c>
      <c r="C22" s="1" t="s">
        <v>391</v>
      </c>
      <c r="D22" s="1" t="s">
        <v>11</v>
      </c>
      <c r="E22" s="1" t="s">
        <v>17</v>
      </c>
      <c r="F22" s="1" t="s">
        <v>42</v>
      </c>
      <c r="G22" s="2">
        <v>44946</v>
      </c>
      <c r="H22" s="1" t="s">
        <v>43</v>
      </c>
      <c r="I22" s="1" t="s">
        <v>60</v>
      </c>
    </row>
    <row r="23" spans="1:9" x14ac:dyDescent="0.25">
      <c r="A23" s="1" t="s">
        <v>71</v>
      </c>
      <c r="B23" s="1" t="s">
        <v>342</v>
      </c>
      <c r="C23" s="1" t="s">
        <v>17</v>
      </c>
      <c r="D23" s="1" t="s">
        <v>18</v>
      </c>
      <c r="E23" s="1" t="s">
        <v>72</v>
      </c>
      <c r="F23" s="1" t="s">
        <v>73</v>
      </c>
      <c r="G23" s="2">
        <v>45102</v>
      </c>
      <c r="H23" s="1" t="s">
        <v>59</v>
      </c>
      <c r="I23" s="1" t="s">
        <v>14</v>
      </c>
    </row>
    <row r="24" spans="1:9" x14ac:dyDescent="0.25">
      <c r="A24" s="1" t="s">
        <v>74</v>
      </c>
      <c r="B24" s="1" t="s">
        <v>333</v>
      </c>
      <c r="C24" s="1" t="s">
        <v>392</v>
      </c>
      <c r="D24" s="1" t="s">
        <v>24</v>
      </c>
      <c r="E24" s="1" t="s">
        <v>50</v>
      </c>
      <c r="F24" s="1" t="s">
        <v>25</v>
      </c>
      <c r="G24" s="2">
        <v>44975</v>
      </c>
      <c r="H24" s="1" t="s">
        <v>13</v>
      </c>
      <c r="I24" s="1" t="s">
        <v>40</v>
      </c>
    </row>
    <row r="25" spans="1:9" x14ac:dyDescent="0.25">
      <c r="A25" s="1" t="s">
        <v>75</v>
      </c>
      <c r="B25" s="1" t="s">
        <v>336</v>
      </c>
      <c r="C25" s="1" t="s">
        <v>393</v>
      </c>
      <c r="D25" s="1" t="s">
        <v>28</v>
      </c>
      <c r="E25" s="1" t="s">
        <v>56</v>
      </c>
      <c r="F25" s="1" t="s">
        <v>47</v>
      </c>
      <c r="G25" s="2">
        <v>45172</v>
      </c>
      <c r="H25" s="1" t="s">
        <v>13</v>
      </c>
      <c r="I25" s="1" t="s">
        <v>14</v>
      </c>
    </row>
    <row r="26" spans="1:9" x14ac:dyDescent="0.25">
      <c r="A26" s="1" t="s">
        <v>76</v>
      </c>
      <c r="B26" s="1" t="s">
        <v>343</v>
      </c>
      <c r="C26" s="1" t="s">
        <v>394</v>
      </c>
      <c r="D26" s="1" t="s">
        <v>11</v>
      </c>
      <c r="E26" s="1" t="s">
        <v>17</v>
      </c>
      <c r="F26" s="1" t="s">
        <v>42</v>
      </c>
      <c r="G26" s="2">
        <v>45230</v>
      </c>
      <c r="H26" s="1" t="s">
        <v>59</v>
      </c>
      <c r="I26" s="1" t="s">
        <v>14</v>
      </c>
    </row>
    <row r="27" spans="1:9" x14ac:dyDescent="0.25">
      <c r="A27" s="1" t="s">
        <v>77</v>
      </c>
      <c r="B27" s="1" t="s">
        <v>329</v>
      </c>
      <c r="C27" s="1" t="s">
        <v>395</v>
      </c>
      <c r="D27" s="1" t="s">
        <v>33</v>
      </c>
      <c r="E27" s="1" t="s">
        <v>27</v>
      </c>
      <c r="F27" s="1" t="s">
        <v>34</v>
      </c>
      <c r="G27" s="2">
        <v>45299</v>
      </c>
      <c r="H27" s="1" t="s">
        <v>59</v>
      </c>
      <c r="I27" s="1" t="s">
        <v>14</v>
      </c>
    </row>
    <row r="28" spans="1:9" x14ac:dyDescent="0.25">
      <c r="A28" s="1" t="s">
        <v>78</v>
      </c>
      <c r="B28" s="1" t="s">
        <v>344</v>
      </c>
      <c r="C28" s="1" t="s">
        <v>17</v>
      </c>
      <c r="D28" s="1" t="s">
        <v>33</v>
      </c>
      <c r="E28" s="1" t="s">
        <v>79</v>
      </c>
      <c r="F28" s="1" t="s">
        <v>80</v>
      </c>
      <c r="G28" s="2">
        <v>45035</v>
      </c>
      <c r="H28" s="1" t="s">
        <v>43</v>
      </c>
      <c r="I28" s="1" t="s">
        <v>14</v>
      </c>
    </row>
    <row r="29" spans="1:9" x14ac:dyDescent="0.25">
      <c r="A29" s="1" t="s">
        <v>81</v>
      </c>
      <c r="B29" s="1" t="s">
        <v>345</v>
      </c>
      <c r="C29" s="1" t="s">
        <v>17</v>
      </c>
      <c r="D29" s="1" t="s">
        <v>33</v>
      </c>
      <c r="E29" s="1" t="s">
        <v>82</v>
      </c>
      <c r="F29" s="1" t="s">
        <v>80</v>
      </c>
      <c r="G29" s="2">
        <v>45385</v>
      </c>
      <c r="H29" s="1" t="s">
        <v>13</v>
      </c>
      <c r="I29" s="1" t="s">
        <v>14</v>
      </c>
    </row>
    <row r="30" spans="1:9" x14ac:dyDescent="0.25">
      <c r="A30" s="1" t="s">
        <v>83</v>
      </c>
      <c r="B30" s="1" t="s">
        <v>22</v>
      </c>
      <c r="C30" s="1" t="s">
        <v>17</v>
      </c>
      <c r="D30" s="1" t="s">
        <v>33</v>
      </c>
      <c r="E30" s="1" t="s">
        <v>23</v>
      </c>
      <c r="F30" s="1" t="s">
        <v>34</v>
      </c>
      <c r="G30" s="2">
        <v>45186</v>
      </c>
      <c r="H30" s="1" t="s">
        <v>43</v>
      </c>
      <c r="I30" s="1" t="s">
        <v>14</v>
      </c>
    </row>
    <row r="31" spans="1:9" x14ac:dyDescent="0.25">
      <c r="A31" s="1" t="s">
        <v>84</v>
      </c>
      <c r="B31" s="1" t="s">
        <v>336</v>
      </c>
      <c r="C31" s="1" t="s">
        <v>17</v>
      </c>
      <c r="D31" s="1" t="s">
        <v>33</v>
      </c>
      <c r="E31" s="1" t="s">
        <v>17</v>
      </c>
      <c r="F31" s="1" t="s">
        <v>80</v>
      </c>
      <c r="G31" s="2">
        <v>45256</v>
      </c>
      <c r="H31" s="1" t="s">
        <v>13</v>
      </c>
      <c r="I31" s="1" t="s">
        <v>60</v>
      </c>
    </row>
    <row r="32" spans="1:9" x14ac:dyDescent="0.25">
      <c r="A32" s="1" t="s">
        <v>85</v>
      </c>
      <c r="B32" s="1" t="s">
        <v>346</v>
      </c>
      <c r="C32" s="1" t="s">
        <v>396</v>
      </c>
      <c r="D32" s="1" t="s">
        <v>33</v>
      </c>
      <c r="E32" s="1" t="s">
        <v>86</v>
      </c>
      <c r="F32" s="1" t="s">
        <v>80</v>
      </c>
      <c r="G32" s="2">
        <v>45386</v>
      </c>
      <c r="H32" s="1" t="s">
        <v>13</v>
      </c>
      <c r="I32" s="1" t="s">
        <v>14</v>
      </c>
    </row>
    <row r="33" spans="1:9" x14ac:dyDescent="0.25">
      <c r="A33" s="1" t="s">
        <v>87</v>
      </c>
      <c r="B33" s="1" t="s">
        <v>88</v>
      </c>
      <c r="C33" s="1" t="s">
        <v>397</v>
      </c>
      <c r="D33" s="1" t="s">
        <v>18</v>
      </c>
      <c r="E33" s="1" t="s">
        <v>89</v>
      </c>
      <c r="F33" s="1" t="s">
        <v>90</v>
      </c>
      <c r="G33" s="2">
        <v>45322</v>
      </c>
      <c r="H33" s="1" t="s">
        <v>35</v>
      </c>
      <c r="I33" s="1" t="s">
        <v>14</v>
      </c>
    </row>
    <row r="34" spans="1:9" x14ac:dyDescent="0.25">
      <c r="A34" s="1" t="s">
        <v>91</v>
      </c>
      <c r="B34" s="1" t="s">
        <v>347</v>
      </c>
      <c r="C34" s="1" t="s">
        <v>398</v>
      </c>
      <c r="D34" s="1" t="s">
        <v>24</v>
      </c>
      <c r="E34" s="1" t="s">
        <v>92</v>
      </c>
      <c r="F34" s="1" t="s">
        <v>25</v>
      </c>
      <c r="G34" s="2">
        <v>45336</v>
      </c>
      <c r="H34" s="1" t="s">
        <v>20</v>
      </c>
      <c r="I34" s="1" t="s">
        <v>14</v>
      </c>
    </row>
    <row r="35" spans="1:9" x14ac:dyDescent="0.25">
      <c r="A35" s="1" t="s">
        <v>93</v>
      </c>
      <c r="B35" s="1" t="s">
        <v>348</v>
      </c>
      <c r="C35" s="1" t="s">
        <v>399</v>
      </c>
      <c r="D35" s="1" t="s">
        <v>18</v>
      </c>
      <c r="E35" s="1" t="s">
        <v>94</v>
      </c>
      <c r="F35" s="1" t="s">
        <v>19</v>
      </c>
      <c r="G35" s="2">
        <v>45307</v>
      </c>
      <c r="H35" s="1" t="s">
        <v>13</v>
      </c>
      <c r="I35" s="1" t="s">
        <v>14</v>
      </c>
    </row>
    <row r="36" spans="1:9" x14ac:dyDescent="0.25">
      <c r="A36" s="1" t="s">
        <v>95</v>
      </c>
      <c r="B36" s="1" t="s">
        <v>96</v>
      </c>
      <c r="C36" s="1" t="s">
        <v>400</v>
      </c>
      <c r="D36" s="1" t="s">
        <v>33</v>
      </c>
      <c r="E36" s="1" t="s">
        <v>17</v>
      </c>
      <c r="F36" s="1" t="s">
        <v>34</v>
      </c>
      <c r="G36" s="2">
        <v>45343</v>
      </c>
      <c r="H36" s="1" t="s">
        <v>43</v>
      </c>
      <c r="I36" s="1" t="s">
        <v>14</v>
      </c>
    </row>
    <row r="37" spans="1:9" x14ac:dyDescent="0.25">
      <c r="A37" s="1" t="s">
        <v>97</v>
      </c>
      <c r="B37" s="1" t="s">
        <v>349</v>
      </c>
      <c r="C37" s="1" t="s">
        <v>401</v>
      </c>
      <c r="D37" s="1" t="s">
        <v>33</v>
      </c>
      <c r="E37" s="1" t="s">
        <v>98</v>
      </c>
      <c r="F37" s="1" t="s">
        <v>34</v>
      </c>
      <c r="G37" s="2">
        <v>44964</v>
      </c>
      <c r="H37" s="1" t="s">
        <v>13</v>
      </c>
      <c r="I37" s="1" t="s">
        <v>14</v>
      </c>
    </row>
    <row r="38" spans="1:9" x14ac:dyDescent="0.25">
      <c r="A38" s="1" t="s">
        <v>99</v>
      </c>
      <c r="B38" s="1" t="s">
        <v>350</v>
      </c>
      <c r="C38" s="1" t="s">
        <v>17</v>
      </c>
      <c r="D38" s="1" t="s">
        <v>24</v>
      </c>
      <c r="E38" s="1" t="s">
        <v>100</v>
      </c>
      <c r="F38" s="1" t="s">
        <v>25</v>
      </c>
      <c r="G38" s="2">
        <v>45309</v>
      </c>
      <c r="H38" s="1" t="s">
        <v>43</v>
      </c>
      <c r="I38" s="1" t="s">
        <v>40</v>
      </c>
    </row>
    <row r="39" spans="1:9" x14ac:dyDescent="0.25">
      <c r="A39" s="1" t="s">
        <v>101</v>
      </c>
      <c r="B39" s="1" t="s">
        <v>351</v>
      </c>
      <c r="C39" s="1" t="s">
        <v>17</v>
      </c>
      <c r="D39" s="1" t="s">
        <v>18</v>
      </c>
      <c r="E39" s="1" t="s">
        <v>102</v>
      </c>
      <c r="F39" s="1" t="s">
        <v>90</v>
      </c>
      <c r="G39" s="2">
        <v>45177</v>
      </c>
      <c r="H39" s="1" t="s">
        <v>35</v>
      </c>
      <c r="I39" s="1" t="s">
        <v>14</v>
      </c>
    </row>
    <row r="40" spans="1:9" x14ac:dyDescent="0.25">
      <c r="A40" s="1" t="s">
        <v>103</v>
      </c>
      <c r="B40" s="1" t="s">
        <v>104</v>
      </c>
      <c r="C40" s="1" t="s">
        <v>17</v>
      </c>
      <c r="D40" s="1" t="s">
        <v>28</v>
      </c>
      <c r="E40" s="1" t="s">
        <v>105</v>
      </c>
      <c r="F40" s="1" t="s">
        <v>47</v>
      </c>
      <c r="G40" s="2">
        <v>45036</v>
      </c>
      <c r="H40" s="1" t="s">
        <v>59</v>
      </c>
      <c r="I40" s="1" t="s">
        <v>60</v>
      </c>
    </row>
    <row r="41" spans="1:9" x14ac:dyDescent="0.25">
      <c r="A41" s="1" t="s">
        <v>106</v>
      </c>
      <c r="B41" s="1" t="s">
        <v>333</v>
      </c>
      <c r="C41" s="1" t="s">
        <v>402</v>
      </c>
      <c r="D41" s="1" t="s">
        <v>28</v>
      </c>
      <c r="E41" s="1" t="s">
        <v>17</v>
      </c>
      <c r="F41" s="1" t="s">
        <v>47</v>
      </c>
      <c r="G41" s="2">
        <v>45168</v>
      </c>
      <c r="H41" s="1" t="s">
        <v>20</v>
      </c>
      <c r="I41" s="1" t="s">
        <v>14</v>
      </c>
    </row>
    <row r="42" spans="1:9" x14ac:dyDescent="0.25">
      <c r="A42" s="1" t="s">
        <v>107</v>
      </c>
      <c r="B42" s="1" t="s">
        <v>348</v>
      </c>
      <c r="C42" s="1" t="s">
        <v>17</v>
      </c>
      <c r="D42" s="1" t="s">
        <v>33</v>
      </c>
      <c r="E42" s="1" t="s">
        <v>94</v>
      </c>
      <c r="F42" s="1" t="s">
        <v>34</v>
      </c>
      <c r="G42" s="2">
        <v>44990</v>
      </c>
      <c r="H42" s="1" t="s">
        <v>43</v>
      </c>
      <c r="I42" s="1" t="s">
        <v>14</v>
      </c>
    </row>
    <row r="43" spans="1:9" x14ac:dyDescent="0.25">
      <c r="A43" s="1" t="s">
        <v>108</v>
      </c>
      <c r="B43" s="1" t="s">
        <v>352</v>
      </c>
      <c r="C43" s="1" t="s">
        <v>403</v>
      </c>
      <c r="D43" s="1" t="s">
        <v>18</v>
      </c>
      <c r="E43" s="1" t="s">
        <v>17</v>
      </c>
      <c r="F43" s="1" t="s">
        <v>19</v>
      </c>
      <c r="G43" s="2">
        <v>45250</v>
      </c>
      <c r="H43" s="1" t="s">
        <v>20</v>
      </c>
      <c r="I43" s="1" t="s">
        <v>14</v>
      </c>
    </row>
    <row r="44" spans="1:9" x14ac:dyDescent="0.25">
      <c r="A44" s="1" t="s">
        <v>109</v>
      </c>
      <c r="B44" s="1" t="s">
        <v>353</v>
      </c>
      <c r="C44" s="1" t="s">
        <v>17</v>
      </c>
      <c r="D44" s="1" t="s">
        <v>11</v>
      </c>
      <c r="E44" s="1" t="s">
        <v>110</v>
      </c>
      <c r="F44" s="1" t="s">
        <v>42</v>
      </c>
      <c r="G44" s="2">
        <v>44993</v>
      </c>
      <c r="H44" s="1" t="s">
        <v>20</v>
      </c>
      <c r="I44" s="1" t="s">
        <v>14</v>
      </c>
    </row>
    <row r="45" spans="1:9" x14ac:dyDescent="0.25">
      <c r="A45" s="1" t="s">
        <v>111</v>
      </c>
      <c r="B45" s="1" t="s">
        <v>350</v>
      </c>
      <c r="C45" s="1" t="s">
        <v>404</v>
      </c>
      <c r="D45" s="1" t="s">
        <v>28</v>
      </c>
      <c r="E45" s="1" t="s">
        <v>100</v>
      </c>
      <c r="F45" s="1" t="s">
        <v>29</v>
      </c>
      <c r="G45" s="2">
        <v>45230</v>
      </c>
      <c r="H45" s="1" t="s">
        <v>43</v>
      </c>
      <c r="I45" s="1" t="s">
        <v>14</v>
      </c>
    </row>
    <row r="46" spans="1:9" x14ac:dyDescent="0.25">
      <c r="A46" s="1" t="s">
        <v>112</v>
      </c>
      <c r="B46" s="1" t="s">
        <v>354</v>
      </c>
      <c r="C46" s="1" t="s">
        <v>405</v>
      </c>
      <c r="D46" s="1" t="s">
        <v>11</v>
      </c>
      <c r="E46" s="1" t="s">
        <v>113</v>
      </c>
      <c r="F46" s="1" t="s">
        <v>12</v>
      </c>
      <c r="G46" s="2">
        <v>45019</v>
      </c>
      <c r="H46" s="1" t="s">
        <v>59</v>
      </c>
      <c r="I46" s="1" t="s">
        <v>60</v>
      </c>
    </row>
    <row r="47" spans="1:9" x14ac:dyDescent="0.25">
      <c r="A47" s="1" t="s">
        <v>114</v>
      </c>
      <c r="B47" s="1" t="s">
        <v>355</v>
      </c>
      <c r="C47" s="1" t="s">
        <v>406</v>
      </c>
      <c r="D47" s="1" t="s">
        <v>28</v>
      </c>
      <c r="E47" s="1" t="s">
        <v>115</v>
      </c>
      <c r="F47" s="1" t="s">
        <v>47</v>
      </c>
      <c r="G47" s="2">
        <v>45267</v>
      </c>
      <c r="H47" s="1" t="s">
        <v>13</v>
      </c>
      <c r="I47" s="1" t="s">
        <v>14</v>
      </c>
    </row>
    <row r="48" spans="1:9" x14ac:dyDescent="0.25">
      <c r="A48" s="1" t="s">
        <v>116</v>
      </c>
      <c r="B48" s="1" t="s">
        <v>356</v>
      </c>
      <c r="C48" s="1" t="s">
        <v>407</v>
      </c>
      <c r="D48" s="1" t="s">
        <v>24</v>
      </c>
      <c r="E48" s="1" t="s">
        <v>117</v>
      </c>
      <c r="F48" s="1" t="s">
        <v>69</v>
      </c>
      <c r="G48" s="2">
        <v>45285</v>
      </c>
      <c r="H48" s="1" t="s">
        <v>20</v>
      </c>
      <c r="I48" s="1" t="s">
        <v>14</v>
      </c>
    </row>
    <row r="49" spans="1:9" x14ac:dyDescent="0.25">
      <c r="A49" s="1" t="s">
        <v>118</v>
      </c>
      <c r="B49" s="1" t="s">
        <v>357</v>
      </c>
      <c r="C49" s="1" t="s">
        <v>17</v>
      </c>
      <c r="D49" s="1" t="s">
        <v>28</v>
      </c>
      <c r="E49" s="1" t="s">
        <v>17</v>
      </c>
      <c r="F49" s="1" t="s">
        <v>29</v>
      </c>
      <c r="G49" s="2">
        <v>45102</v>
      </c>
      <c r="H49" s="1" t="s">
        <v>20</v>
      </c>
      <c r="I49" s="1" t="s">
        <v>14</v>
      </c>
    </row>
    <row r="50" spans="1:9" x14ac:dyDescent="0.25">
      <c r="A50" s="1" t="s">
        <v>119</v>
      </c>
      <c r="B50" s="1" t="s">
        <v>349</v>
      </c>
      <c r="C50" s="1" t="s">
        <v>408</v>
      </c>
      <c r="D50" s="1" t="s">
        <v>33</v>
      </c>
      <c r="E50" s="1" t="s">
        <v>98</v>
      </c>
      <c r="F50" s="1" t="s">
        <v>34</v>
      </c>
      <c r="G50" s="2">
        <v>45261</v>
      </c>
      <c r="H50" s="1" t="s">
        <v>20</v>
      </c>
      <c r="I50" s="1" t="s">
        <v>14</v>
      </c>
    </row>
    <row r="51" spans="1:9" x14ac:dyDescent="0.25">
      <c r="A51" s="1" t="s">
        <v>120</v>
      </c>
      <c r="B51" s="1" t="s">
        <v>339</v>
      </c>
      <c r="C51" s="1" t="s">
        <v>409</v>
      </c>
      <c r="D51" s="1" t="s">
        <v>24</v>
      </c>
      <c r="E51" s="1" t="s">
        <v>64</v>
      </c>
      <c r="F51" s="1" t="s">
        <v>69</v>
      </c>
      <c r="G51" s="2">
        <v>45026</v>
      </c>
      <c r="H51" s="1" t="s">
        <v>35</v>
      </c>
      <c r="I51" s="1" t="s">
        <v>14</v>
      </c>
    </row>
    <row r="52" spans="1:9" x14ac:dyDescent="0.25">
      <c r="A52" s="1" t="s">
        <v>121</v>
      </c>
      <c r="B52" s="1" t="s">
        <v>122</v>
      </c>
      <c r="C52" s="1" t="s">
        <v>410</v>
      </c>
      <c r="D52" s="1" t="s">
        <v>33</v>
      </c>
      <c r="E52" s="1" t="s">
        <v>123</v>
      </c>
      <c r="F52" s="1" t="s">
        <v>67</v>
      </c>
      <c r="G52" s="2">
        <v>45354</v>
      </c>
      <c r="H52" s="1" t="s">
        <v>35</v>
      </c>
      <c r="I52" s="1" t="s">
        <v>14</v>
      </c>
    </row>
    <row r="53" spans="1:9" x14ac:dyDescent="0.25">
      <c r="A53" s="1" t="s">
        <v>124</v>
      </c>
      <c r="B53" s="1" t="s">
        <v>350</v>
      </c>
      <c r="C53" s="1" t="s">
        <v>411</v>
      </c>
      <c r="D53" s="1" t="s">
        <v>18</v>
      </c>
      <c r="E53" s="1" t="s">
        <v>100</v>
      </c>
      <c r="F53" s="1" t="s">
        <v>90</v>
      </c>
      <c r="G53" s="2">
        <v>45334</v>
      </c>
      <c r="H53" s="1" t="s">
        <v>13</v>
      </c>
      <c r="I53" s="1" t="s">
        <v>14</v>
      </c>
    </row>
    <row r="54" spans="1:9" x14ac:dyDescent="0.25">
      <c r="A54" s="1" t="s">
        <v>125</v>
      </c>
      <c r="B54" s="1" t="s">
        <v>358</v>
      </c>
      <c r="C54" s="1" t="s">
        <v>17</v>
      </c>
      <c r="D54" s="1" t="s">
        <v>24</v>
      </c>
      <c r="E54" s="1" t="s">
        <v>17</v>
      </c>
      <c r="F54" s="1" t="s">
        <v>69</v>
      </c>
      <c r="G54" s="2">
        <v>44952</v>
      </c>
      <c r="H54" s="1" t="s">
        <v>35</v>
      </c>
      <c r="I54" s="1" t="s">
        <v>40</v>
      </c>
    </row>
    <row r="55" spans="1:9" x14ac:dyDescent="0.25">
      <c r="A55" s="1" t="s">
        <v>126</v>
      </c>
      <c r="B55" s="1" t="s">
        <v>359</v>
      </c>
      <c r="C55" s="1" t="s">
        <v>17</v>
      </c>
      <c r="D55" s="1" t="s">
        <v>18</v>
      </c>
      <c r="E55" s="1" t="s">
        <v>127</v>
      </c>
      <c r="F55" s="1" t="s">
        <v>90</v>
      </c>
      <c r="G55" s="2">
        <v>45168</v>
      </c>
      <c r="H55" s="1" t="s">
        <v>43</v>
      </c>
      <c r="I55" s="1" t="s">
        <v>60</v>
      </c>
    </row>
    <row r="56" spans="1:9" x14ac:dyDescent="0.25">
      <c r="A56" s="1" t="s">
        <v>128</v>
      </c>
      <c r="B56" s="1" t="s">
        <v>355</v>
      </c>
      <c r="C56" s="1" t="s">
        <v>412</v>
      </c>
      <c r="D56" s="1" t="s">
        <v>24</v>
      </c>
      <c r="E56" s="1" t="s">
        <v>115</v>
      </c>
      <c r="F56" s="1" t="s">
        <v>69</v>
      </c>
      <c r="G56" s="2">
        <v>45364</v>
      </c>
      <c r="H56" s="1" t="s">
        <v>13</v>
      </c>
      <c r="I56" s="1" t="s">
        <v>14</v>
      </c>
    </row>
    <row r="57" spans="1:9" x14ac:dyDescent="0.25">
      <c r="A57" s="1" t="s">
        <v>129</v>
      </c>
      <c r="B57" s="1" t="s">
        <v>359</v>
      </c>
      <c r="C57" s="1" t="s">
        <v>17</v>
      </c>
      <c r="D57" s="1" t="s">
        <v>28</v>
      </c>
      <c r="E57" s="1" t="s">
        <v>17</v>
      </c>
      <c r="F57" s="1" t="s">
        <v>29</v>
      </c>
      <c r="G57" s="2">
        <v>45230</v>
      </c>
      <c r="H57" s="1" t="s">
        <v>43</v>
      </c>
      <c r="I57" s="1" t="s">
        <v>14</v>
      </c>
    </row>
    <row r="58" spans="1:9" x14ac:dyDescent="0.25">
      <c r="A58" s="1" t="s">
        <v>130</v>
      </c>
      <c r="B58" s="1" t="s">
        <v>330</v>
      </c>
      <c r="C58" s="1" t="s">
        <v>17</v>
      </c>
      <c r="D58" s="1" t="s">
        <v>11</v>
      </c>
      <c r="E58" s="1" t="s">
        <v>37</v>
      </c>
      <c r="F58" s="1" t="s">
        <v>42</v>
      </c>
      <c r="G58" s="2">
        <v>45338</v>
      </c>
      <c r="H58" s="1" t="s">
        <v>35</v>
      </c>
      <c r="I58" s="1" t="s">
        <v>14</v>
      </c>
    </row>
    <row r="59" spans="1:9" x14ac:dyDescent="0.25">
      <c r="A59" s="1" t="s">
        <v>131</v>
      </c>
      <c r="B59" s="1" t="s">
        <v>360</v>
      </c>
      <c r="C59" s="1" t="s">
        <v>413</v>
      </c>
      <c r="D59" s="1" t="s">
        <v>18</v>
      </c>
      <c r="E59" s="1" t="s">
        <v>132</v>
      </c>
      <c r="F59" s="1" t="s">
        <v>90</v>
      </c>
      <c r="G59" s="2">
        <v>45080</v>
      </c>
      <c r="H59" s="1" t="s">
        <v>13</v>
      </c>
      <c r="I59" s="1" t="s">
        <v>14</v>
      </c>
    </row>
    <row r="60" spans="1:9" x14ac:dyDescent="0.25">
      <c r="A60" s="1" t="s">
        <v>133</v>
      </c>
      <c r="B60" s="1" t="s">
        <v>352</v>
      </c>
      <c r="C60" s="1" t="s">
        <v>414</v>
      </c>
      <c r="D60" s="1" t="s">
        <v>33</v>
      </c>
      <c r="E60" s="1" t="s">
        <v>134</v>
      </c>
      <c r="F60" s="1" t="s">
        <v>67</v>
      </c>
      <c r="G60" s="2">
        <v>44985</v>
      </c>
      <c r="H60" s="1" t="s">
        <v>13</v>
      </c>
      <c r="I60" s="1" t="s">
        <v>14</v>
      </c>
    </row>
    <row r="61" spans="1:9" x14ac:dyDescent="0.25">
      <c r="A61" s="1" t="s">
        <v>135</v>
      </c>
      <c r="B61" s="1" t="s">
        <v>361</v>
      </c>
      <c r="C61" s="1" t="s">
        <v>415</v>
      </c>
      <c r="D61" s="1" t="s">
        <v>11</v>
      </c>
      <c r="E61" s="1" t="s">
        <v>136</v>
      </c>
      <c r="F61" s="1" t="s">
        <v>12</v>
      </c>
      <c r="G61" s="2">
        <v>45283</v>
      </c>
      <c r="H61" s="1" t="s">
        <v>20</v>
      </c>
      <c r="I61" s="1" t="s">
        <v>40</v>
      </c>
    </row>
    <row r="62" spans="1:9" x14ac:dyDescent="0.25">
      <c r="A62" s="1" t="s">
        <v>137</v>
      </c>
      <c r="B62" s="1" t="s">
        <v>336</v>
      </c>
      <c r="C62" s="1" t="s">
        <v>17</v>
      </c>
      <c r="D62" s="1" t="s">
        <v>28</v>
      </c>
      <c r="E62" s="1" t="s">
        <v>56</v>
      </c>
      <c r="F62" s="1" t="s">
        <v>47</v>
      </c>
      <c r="G62" s="2">
        <v>45039</v>
      </c>
      <c r="H62" s="1" t="s">
        <v>13</v>
      </c>
      <c r="I62" s="1" t="s">
        <v>14</v>
      </c>
    </row>
    <row r="63" spans="1:9" x14ac:dyDescent="0.25">
      <c r="A63" s="1" t="s">
        <v>138</v>
      </c>
      <c r="B63" s="1" t="s">
        <v>354</v>
      </c>
      <c r="C63" s="1" t="s">
        <v>17</v>
      </c>
      <c r="D63" s="1" t="s">
        <v>33</v>
      </c>
      <c r="E63" s="1" t="s">
        <v>113</v>
      </c>
      <c r="F63" s="1" t="s">
        <v>67</v>
      </c>
      <c r="G63" s="2">
        <v>44995</v>
      </c>
      <c r="H63" s="1" t="s">
        <v>13</v>
      </c>
      <c r="I63" s="1" t="s">
        <v>14</v>
      </c>
    </row>
    <row r="64" spans="1:9" x14ac:dyDescent="0.25">
      <c r="A64" s="1" t="s">
        <v>139</v>
      </c>
      <c r="B64" s="1" t="s">
        <v>327</v>
      </c>
      <c r="C64" s="1" t="s">
        <v>17</v>
      </c>
      <c r="D64" s="1" t="s">
        <v>28</v>
      </c>
      <c r="E64" s="1" t="s">
        <v>10</v>
      </c>
      <c r="F64" s="1" t="s">
        <v>29</v>
      </c>
      <c r="G64" s="2">
        <v>45070</v>
      </c>
      <c r="H64" s="1" t="s">
        <v>20</v>
      </c>
      <c r="I64" s="1" t="s">
        <v>14</v>
      </c>
    </row>
    <row r="65" spans="1:9" x14ac:dyDescent="0.25">
      <c r="A65" s="1" t="s">
        <v>140</v>
      </c>
      <c r="B65" s="1" t="s">
        <v>349</v>
      </c>
      <c r="C65" s="1" t="s">
        <v>17</v>
      </c>
      <c r="D65" s="1" t="s">
        <v>33</v>
      </c>
      <c r="E65" s="1" t="s">
        <v>98</v>
      </c>
      <c r="F65" s="1" t="s">
        <v>80</v>
      </c>
      <c r="G65" s="2">
        <v>45393</v>
      </c>
      <c r="H65" s="1" t="s">
        <v>13</v>
      </c>
      <c r="I65" s="1" t="s">
        <v>60</v>
      </c>
    </row>
    <row r="66" spans="1:9" x14ac:dyDescent="0.25">
      <c r="A66" s="1" t="s">
        <v>141</v>
      </c>
      <c r="B66" s="1" t="s">
        <v>330</v>
      </c>
      <c r="C66" s="1" t="s">
        <v>416</v>
      </c>
      <c r="D66" s="1" t="s">
        <v>18</v>
      </c>
      <c r="E66" s="1" t="s">
        <v>37</v>
      </c>
      <c r="F66" s="1" t="s">
        <v>90</v>
      </c>
      <c r="G66" s="2">
        <v>45036</v>
      </c>
      <c r="H66" s="1" t="s">
        <v>43</v>
      </c>
      <c r="I66" s="1" t="s">
        <v>14</v>
      </c>
    </row>
    <row r="67" spans="1:9" x14ac:dyDescent="0.25">
      <c r="A67" s="1" t="s">
        <v>142</v>
      </c>
      <c r="B67" s="1" t="s">
        <v>362</v>
      </c>
      <c r="C67" s="1" t="s">
        <v>17</v>
      </c>
      <c r="D67" s="1" t="s">
        <v>28</v>
      </c>
      <c r="E67" s="1" t="s">
        <v>17</v>
      </c>
      <c r="F67" s="1" t="s">
        <v>47</v>
      </c>
      <c r="G67" s="2">
        <v>45313</v>
      </c>
      <c r="H67" s="1" t="s">
        <v>43</v>
      </c>
      <c r="I67" s="1" t="s">
        <v>40</v>
      </c>
    </row>
    <row r="68" spans="1:9" x14ac:dyDescent="0.25">
      <c r="A68" s="1" t="s">
        <v>143</v>
      </c>
      <c r="B68" s="1" t="s">
        <v>357</v>
      </c>
      <c r="C68" s="1" t="s">
        <v>17</v>
      </c>
      <c r="D68" s="1" t="s">
        <v>11</v>
      </c>
      <c r="E68" s="1" t="s">
        <v>144</v>
      </c>
      <c r="F68" s="1" t="s">
        <v>42</v>
      </c>
      <c r="G68" s="2">
        <v>45305</v>
      </c>
      <c r="H68" s="1" t="s">
        <v>35</v>
      </c>
      <c r="I68" s="1" t="s">
        <v>14</v>
      </c>
    </row>
    <row r="69" spans="1:9" x14ac:dyDescent="0.25">
      <c r="A69" s="1" t="s">
        <v>145</v>
      </c>
      <c r="B69" s="1" t="s">
        <v>104</v>
      </c>
      <c r="C69" s="1" t="s">
        <v>417</v>
      </c>
      <c r="D69" s="1" t="s">
        <v>18</v>
      </c>
      <c r="E69" s="1" t="s">
        <v>105</v>
      </c>
      <c r="F69" s="1" t="s">
        <v>90</v>
      </c>
      <c r="G69" s="2">
        <v>45311</v>
      </c>
      <c r="H69" s="1" t="s">
        <v>20</v>
      </c>
      <c r="I69" s="1" t="s">
        <v>14</v>
      </c>
    </row>
    <row r="70" spans="1:9" x14ac:dyDescent="0.25">
      <c r="A70" s="1" t="s">
        <v>146</v>
      </c>
      <c r="B70" s="1" t="s">
        <v>363</v>
      </c>
      <c r="C70" s="1" t="s">
        <v>418</v>
      </c>
      <c r="D70" s="1" t="s">
        <v>24</v>
      </c>
      <c r="E70" s="1" t="s">
        <v>17</v>
      </c>
      <c r="F70" s="1" t="s">
        <v>25</v>
      </c>
      <c r="G70" s="2">
        <v>45331</v>
      </c>
      <c r="H70" s="1" t="s">
        <v>35</v>
      </c>
      <c r="I70" s="1" t="s">
        <v>14</v>
      </c>
    </row>
    <row r="71" spans="1:9" x14ac:dyDescent="0.25">
      <c r="A71" s="1" t="s">
        <v>147</v>
      </c>
      <c r="B71" s="1" t="s">
        <v>342</v>
      </c>
      <c r="C71" s="1" t="s">
        <v>419</v>
      </c>
      <c r="D71" s="1" t="s">
        <v>18</v>
      </c>
      <c r="E71" s="1" t="s">
        <v>17</v>
      </c>
      <c r="F71" s="1" t="s">
        <v>19</v>
      </c>
      <c r="G71" s="2">
        <v>45345</v>
      </c>
      <c r="H71" s="1" t="s">
        <v>35</v>
      </c>
      <c r="I71" s="1" t="s">
        <v>14</v>
      </c>
    </row>
    <row r="72" spans="1:9" x14ac:dyDescent="0.25">
      <c r="A72" s="1" t="s">
        <v>148</v>
      </c>
      <c r="B72" s="1" t="s">
        <v>339</v>
      </c>
      <c r="C72" s="1" t="s">
        <v>420</v>
      </c>
      <c r="D72" s="1" t="s">
        <v>11</v>
      </c>
      <c r="E72" s="1" t="s">
        <v>64</v>
      </c>
      <c r="F72" s="1" t="s">
        <v>42</v>
      </c>
      <c r="G72" s="2">
        <v>45345</v>
      </c>
      <c r="H72" s="1" t="s">
        <v>20</v>
      </c>
      <c r="I72" s="1" t="s">
        <v>14</v>
      </c>
    </row>
    <row r="73" spans="1:9" x14ac:dyDescent="0.25">
      <c r="A73" s="1" t="s">
        <v>149</v>
      </c>
      <c r="B73" s="1" t="s">
        <v>336</v>
      </c>
      <c r="C73" s="1" t="s">
        <v>421</v>
      </c>
      <c r="D73" s="1" t="s">
        <v>18</v>
      </c>
      <c r="E73" s="1" t="s">
        <v>56</v>
      </c>
      <c r="F73" s="1" t="s">
        <v>19</v>
      </c>
      <c r="G73" s="2">
        <v>45346</v>
      </c>
      <c r="H73" s="1" t="s">
        <v>35</v>
      </c>
      <c r="I73" s="1" t="s">
        <v>14</v>
      </c>
    </row>
    <row r="74" spans="1:9" x14ac:dyDescent="0.25">
      <c r="A74" s="1" t="s">
        <v>150</v>
      </c>
      <c r="B74" s="1" t="s">
        <v>359</v>
      </c>
      <c r="C74" s="1" t="s">
        <v>17</v>
      </c>
      <c r="D74" s="1" t="s">
        <v>33</v>
      </c>
      <c r="E74" s="1" t="s">
        <v>127</v>
      </c>
      <c r="F74" s="1" t="s">
        <v>34</v>
      </c>
      <c r="G74" s="2">
        <v>45064</v>
      </c>
      <c r="H74" s="1" t="s">
        <v>43</v>
      </c>
      <c r="I74" s="1" t="s">
        <v>14</v>
      </c>
    </row>
    <row r="75" spans="1:9" x14ac:dyDescent="0.25">
      <c r="A75" s="1" t="s">
        <v>151</v>
      </c>
      <c r="B75" s="1" t="s">
        <v>329</v>
      </c>
      <c r="C75" s="1" t="s">
        <v>17</v>
      </c>
      <c r="D75" s="1" t="s">
        <v>11</v>
      </c>
      <c r="E75" s="1" t="s">
        <v>27</v>
      </c>
      <c r="F75" s="1" t="s">
        <v>12</v>
      </c>
      <c r="G75" s="2">
        <v>45016</v>
      </c>
      <c r="H75" s="1" t="s">
        <v>43</v>
      </c>
      <c r="I75" s="1" t="s">
        <v>14</v>
      </c>
    </row>
    <row r="76" spans="1:9" x14ac:dyDescent="0.25">
      <c r="A76" s="1" t="s">
        <v>152</v>
      </c>
      <c r="B76" s="1" t="s">
        <v>363</v>
      </c>
      <c r="C76" s="1" t="s">
        <v>422</v>
      </c>
      <c r="D76" s="1" t="s">
        <v>24</v>
      </c>
      <c r="E76" s="1" t="s">
        <v>153</v>
      </c>
      <c r="F76" s="1" t="s">
        <v>69</v>
      </c>
      <c r="G76" s="2">
        <v>45253</v>
      </c>
      <c r="H76" s="1" t="s">
        <v>43</v>
      </c>
      <c r="I76" s="1" t="s">
        <v>14</v>
      </c>
    </row>
    <row r="77" spans="1:9" x14ac:dyDescent="0.25">
      <c r="A77" s="1" t="s">
        <v>154</v>
      </c>
      <c r="B77" s="1" t="s">
        <v>356</v>
      </c>
      <c r="C77" s="1" t="s">
        <v>423</v>
      </c>
      <c r="D77" s="1" t="s">
        <v>33</v>
      </c>
      <c r="E77" s="1" t="s">
        <v>117</v>
      </c>
      <c r="F77" s="1" t="s">
        <v>80</v>
      </c>
      <c r="G77" s="2">
        <v>45019</v>
      </c>
      <c r="H77" s="1" t="s">
        <v>59</v>
      </c>
      <c r="I77" s="1" t="s">
        <v>60</v>
      </c>
    </row>
    <row r="78" spans="1:9" x14ac:dyDescent="0.25">
      <c r="A78" s="1" t="s">
        <v>155</v>
      </c>
      <c r="B78" s="1" t="s">
        <v>364</v>
      </c>
      <c r="C78" s="1" t="s">
        <v>17</v>
      </c>
      <c r="D78" s="1" t="s">
        <v>18</v>
      </c>
      <c r="E78" s="1" t="s">
        <v>17</v>
      </c>
      <c r="F78" s="1" t="s">
        <v>19</v>
      </c>
      <c r="G78" s="2">
        <v>45302</v>
      </c>
      <c r="H78" s="1" t="s">
        <v>35</v>
      </c>
      <c r="I78" s="1" t="s">
        <v>14</v>
      </c>
    </row>
    <row r="79" spans="1:9" x14ac:dyDescent="0.25">
      <c r="A79" s="1" t="s">
        <v>156</v>
      </c>
      <c r="B79" s="1" t="s">
        <v>349</v>
      </c>
      <c r="C79" s="1" t="s">
        <v>424</v>
      </c>
      <c r="D79" s="1" t="s">
        <v>24</v>
      </c>
      <c r="E79" s="1" t="s">
        <v>17</v>
      </c>
      <c r="F79" s="1" t="s">
        <v>25</v>
      </c>
      <c r="G79" s="2">
        <v>45325</v>
      </c>
      <c r="H79" s="1" t="s">
        <v>43</v>
      </c>
      <c r="I79" s="1" t="s">
        <v>14</v>
      </c>
    </row>
    <row r="80" spans="1:9" x14ac:dyDescent="0.25">
      <c r="A80" s="1" t="s">
        <v>157</v>
      </c>
      <c r="B80" s="1" t="s">
        <v>365</v>
      </c>
      <c r="C80" s="1" t="s">
        <v>17</v>
      </c>
      <c r="D80" s="1" t="s">
        <v>28</v>
      </c>
      <c r="E80" s="1" t="s">
        <v>158</v>
      </c>
      <c r="F80" s="1" t="s">
        <v>47</v>
      </c>
      <c r="G80" s="2">
        <v>45098</v>
      </c>
      <c r="H80" s="1" t="s">
        <v>43</v>
      </c>
      <c r="I80" s="1" t="s">
        <v>14</v>
      </c>
    </row>
    <row r="81" spans="1:9" x14ac:dyDescent="0.25">
      <c r="A81" s="1" t="s">
        <v>159</v>
      </c>
      <c r="B81" s="1" t="s">
        <v>359</v>
      </c>
      <c r="C81" s="1" t="s">
        <v>17</v>
      </c>
      <c r="D81" s="1" t="s">
        <v>18</v>
      </c>
      <c r="E81" s="1" t="s">
        <v>127</v>
      </c>
      <c r="F81" s="1" t="s">
        <v>73</v>
      </c>
      <c r="G81" s="2">
        <v>45009</v>
      </c>
      <c r="H81" s="1" t="s">
        <v>20</v>
      </c>
      <c r="I81" s="1" t="s">
        <v>14</v>
      </c>
    </row>
    <row r="82" spans="1:9" x14ac:dyDescent="0.25">
      <c r="A82" s="1" t="s">
        <v>160</v>
      </c>
      <c r="B82" s="1" t="s">
        <v>345</v>
      </c>
      <c r="C82" s="1" t="s">
        <v>425</v>
      </c>
      <c r="D82" s="1" t="s">
        <v>28</v>
      </c>
      <c r="E82" s="1" t="s">
        <v>82</v>
      </c>
      <c r="F82" s="1" t="s">
        <v>47</v>
      </c>
      <c r="G82" s="2">
        <v>45233</v>
      </c>
      <c r="H82" s="1" t="s">
        <v>43</v>
      </c>
      <c r="I82" s="1" t="s">
        <v>14</v>
      </c>
    </row>
    <row r="83" spans="1:9" x14ac:dyDescent="0.25">
      <c r="A83" s="1" t="s">
        <v>161</v>
      </c>
      <c r="B83" s="1" t="s">
        <v>350</v>
      </c>
      <c r="C83" s="1" t="s">
        <v>426</v>
      </c>
      <c r="D83" s="1" t="s">
        <v>24</v>
      </c>
      <c r="E83" s="1" t="s">
        <v>100</v>
      </c>
      <c r="F83" s="1" t="s">
        <v>25</v>
      </c>
      <c r="G83" s="2">
        <v>45133</v>
      </c>
      <c r="H83" s="1" t="s">
        <v>13</v>
      </c>
      <c r="I83" s="1" t="s">
        <v>14</v>
      </c>
    </row>
    <row r="84" spans="1:9" x14ac:dyDescent="0.25">
      <c r="A84" s="1" t="s">
        <v>162</v>
      </c>
      <c r="B84" s="1" t="s">
        <v>366</v>
      </c>
      <c r="C84" s="1" t="s">
        <v>427</v>
      </c>
      <c r="D84" s="1" t="s">
        <v>24</v>
      </c>
      <c r="E84" s="1" t="s">
        <v>163</v>
      </c>
      <c r="F84" s="1" t="s">
        <v>69</v>
      </c>
      <c r="G84" s="2">
        <v>45095</v>
      </c>
      <c r="H84" s="1" t="s">
        <v>59</v>
      </c>
      <c r="I84" s="1" t="s">
        <v>14</v>
      </c>
    </row>
    <row r="85" spans="1:9" x14ac:dyDescent="0.25">
      <c r="A85" s="1" t="s">
        <v>164</v>
      </c>
      <c r="B85" s="1" t="s">
        <v>341</v>
      </c>
      <c r="C85" s="1" t="s">
        <v>428</v>
      </c>
      <c r="D85" s="1" t="s">
        <v>28</v>
      </c>
      <c r="E85" s="1" t="s">
        <v>165</v>
      </c>
      <c r="F85" s="1" t="s">
        <v>29</v>
      </c>
      <c r="G85" s="2">
        <v>44980</v>
      </c>
      <c r="H85" s="1" t="s">
        <v>35</v>
      </c>
      <c r="I85" s="1" t="s">
        <v>14</v>
      </c>
    </row>
    <row r="86" spans="1:9" x14ac:dyDescent="0.25">
      <c r="A86" s="1" t="s">
        <v>166</v>
      </c>
      <c r="B86" s="1" t="s">
        <v>339</v>
      </c>
      <c r="C86" s="1" t="s">
        <v>429</v>
      </c>
      <c r="D86" s="1" t="s">
        <v>18</v>
      </c>
      <c r="E86" s="1" t="s">
        <v>64</v>
      </c>
      <c r="F86" s="1" t="s">
        <v>73</v>
      </c>
      <c r="G86" s="2">
        <v>45243</v>
      </c>
      <c r="H86" s="1" t="s">
        <v>35</v>
      </c>
      <c r="I86" s="1" t="s">
        <v>40</v>
      </c>
    </row>
    <row r="87" spans="1:9" x14ac:dyDescent="0.25">
      <c r="A87" s="1" t="s">
        <v>167</v>
      </c>
      <c r="B87" s="1" t="s">
        <v>334</v>
      </c>
      <c r="C87" s="1" t="s">
        <v>17</v>
      </c>
      <c r="D87" s="1" t="s">
        <v>11</v>
      </c>
      <c r="E87" s="1" t="s">
        <v>52</v>
      </c>
      <c r="F87" s="1" t="s">
        <v>12</v>
      </c>
      <c r="G87" s="2">
        <v>45186</v>
      </c>
      <c r="H87" s="1" t="s">
        <v>13</v>
      </c>
      <c r="I87" s="1" t="s">
        <v>14</v>
      </c>
    </row>
    <row r="88" spans="1:9" x14ac:dyDescent="0.25">
      <c r="A88" s="1" t="s">
        <v>168</v>
      </c>
      <c r="B88" s="1" t="s">
        <v>340</v>
      </c>
      <c r="C88" s="1" t="s">
        <v>430</v>
      </c>
      <c r="D88" s="1" t="s">
        <v>24</v>
      </c>
      <c r="E88" s="1" t="s">
        <v>17</v>
      </c>
      <c r="F88" s="1" t="s">
        <v>69</v>
      </c>
      <c r="G88" s="2">
        <v>45324</v>
      </c>
      <c r="H88" s="1" t="s">
        <v>43</v>
      </c>
      <c r="I88" s="1" t="s">
        <v>14</v>
      </c>
    </row>
    <row r="89" spans="1:9" x14ac:dyDescent="0.25">
      <c r="A89" s="1" t="s">
        <v>169</v>
      </c>
      <c r="B89" s="1" t="s">
        <v>367</v>
      </c>
      <c r="C89" s="1" t="s">
        <v>431</v>
      </c>
      <c r="D89" s="1" t="s">
        <v>18</v>
      </c>
      <c r="E89" s="1" t="s">
        <v>17</v>
      </c>
      <c r="F89" s="1" t="s">
        <v>90</v>
      </c>
      <c r="G89" s="2">
        <v>45102</v>
      </c>
      <c r="H89" s="1" t="s">
        <v>59</v>
      </c>
      <c r="I89" s="1" t="s">
        <v>14</v>
      </c>
    </row>
    <row r="90" spans="1:9" x14ac:dyDescent="0.25">
      <c r="A90" s="1" t="s">
        <v>170</v>
      </c>
      <c r="B90" s="1" t="s">
        <v>363</v>
      </c>
      <c r="C90" s="1" t="s">
        <v>17</v>
      </c>
      <c r="D90" s="1" t="s">
        <v>33</v>
      </c>
      <c r="E90" s="1" t="s">
        <v>17</v>
      </c>
      <c r="F90" s="1" t="s">
        <v>34</v>
      </c>
      <c r="G90" s="2">
        <v>45109</v>
      </c>
      <c r="H90" s="1" t="s">
        <v>13</v>
      </c>
      <c r="I90" s="1" t="s">
        <v>14</v>
      </c>
    </row>
    <row r="91" spans="1:9" x14ac:dyDescent="0.25">
      <c r="A91" s="1" t="s">
        <v>171</v>
      </c>
      <c r="B91" s="1" t="s">
        <v>368</v>
      </c>
      <c r="C91" s="1" t="s">
        <v>432</v>
      </c>
      <c r="D91" s="1" t="s">
        <v>18</v>
      </c>
      <c r="E91" s="1" t="s">
        <v>172</v>
      </c>
      <c r="F91" s="1" t="s">
        <v>73</v>
      </c>
      <c r="G91" s="2">
        <v>45276</v>
      </c>
      <c r="H91" s="1" t="s">
        <v>20</v>
      </c>
      <c r="I91" s="1" t="s">
        <v>14</v>
      </c>
    </row>
    <row r="92" spans="1:9" x14ac:dyDescent="0.25">
      <c r="A92" s="1" t="s">
        <v>173</v>
      </c>
      <c r="B92" s="1" t="s">
        <v>335</v>
      </c>
      <c r="C92" s="1" t="s">
        <v>17</v>
      </c>
      <c r="D92" s="1" t="s">
        <v>24</v>
      </c>
      <c r="E92" s="1" t="s">
        <v>54</v>
      </c>
      <c r="F92" s="1" t="s">
        <v>69</v>
      </c>
      <c r="G92" s="2">
        <v>45385</v>
      </c>
      <c r="H92" s="1" t="s">
        <v>35</v>
      </c>
      <c r="I92" s="1" t="s">
        <v>14</v>
      </c>
    </row>
    <row r="93" spans="1:9" x14ac:dyDescent="0.25">
      <c r="A93" s="1" t="s">
        <v>174</v>
      </c>
      <c r="B93" s="1" t="s">
        <v>353</v>
      </c>
      <c r="C93" s="1" t="s">
        <v>433</v>
      </c>
      <c r="D93" s="1" t="s">
        <v>33</v>
      </c>
      <c r="E93" s="1" t="s">
        <v>110</v>
      </c>
      <c r="F93" s="1" t="s">
        <v>34</v>
      </c>
      <c r="G93" s="2">
        <v>45034</v>
      </c>
      <c r="H93" s="1" t="s">
        <v>35</v>
      </c>
      <c r="I93" s="1" t="s">
        <v>14</v>
      </c>
    </row>
    <row r="94" spans="1:9" x14ac:dyDescent="0.25">
      <c r="A94" s="1" t="s">
        <v>175</v>
      </c>
      <c r="B94" s="1" t="s">
        <v>350</v>
      </c>
      <c r="C94" s="1" t="s">
        <v>17</v>
      </c>
      <c r="D94" s="1" t="s">
        <v>33</v>
      </c>
      <c r="E94" s="1" t="s">
        <v>100</v>
      </c>
      <c r="F94" s="1" t="s">
        <v>34</v>
      </c>
      <c r="G94" s="2">
        <v>45425</v>
      </c>
      <c r="H94" s="1" t="s">
        <v>20</v>
      </c>
      <c r="I94" s="1" t="s">
        <v>14</v>
      </c>
    </row>
    <row r="95" spans="1:9" x14ac:dyDescent="0.25">
      <c r="A95" s="1" t="s">
        <v>176</v>
      </c>
      <c r="B95" s="1" t="s">
        <v>369</v>
      </c>
      <c r="C95" s="1" t="s">
        <v>434</v>
      </c>
      <c r="D95" s="1" t="s">
        <v>18</v>
      </c>
      <c r="E95" s="1" t="s">
        <v>177</v>
      </c>
      <c r="F95" s="1" t="s">
        <v>19</v>
      </c>
      <c r="G95" s="2">
        <v>45197</v>
      </c>
      <c r="H95" s="1" t="s">
        <v>59</v>
      </c>
      <c r="I95" s="1" t="s">
        <v>14</v>
      </c>
    </row>
    <row r="96" spans="1:9" x14ac:dyDescent="0.25">
      <c r="A96" s="1" t="s">
        <v>178</v>
      </c>
      <c r="B96" s="1" t="s">
        <v>336</v>
      </c>
      <c r="C96" s="1" t="s">
        <v>17</v>
      </c>
      <c r="D96" s="1" t="s">
        <v>24</v>
      </c>
      <c r="E96" s="1" t="s">
        <v>56</v>
      </c>
      <c r="F96" s="1" t="s">
        <v>69</v>
      </c>
      <c r="G96" s="2">
        <v>45314</v>
      </c>
      <c r="H96" s="1" t="s">
        <v>13</v>
      </c>
      <c r="I96" s="1" t="s">
        <v>40</v>
      </c>
    </row>
    <row r="97" spans="1:9" x14ac:dyDescent="0.25">
      <c r="A97" s="1" t="s">
        <v>179</v>
      </c>
      <c r="B97" s="1" t="s">
        <v>370</v>
      </c>
      <c r="C97" s="1" t="s">
        <v>17</v>
      </c>
      <c r="D97" s="1" t="s">
        <v>11</v>
      </c>
      <c r="E97" s="1" t="s">
        <v>180</v>
      </c>
      <c r="F97" s="1" t="s">
        <v>42</v>
      </c>
      <c r="G97" s="2">
        <v>45345</v>
      </c>
      <c r="H97" s="1" t="s">
        <v>20</v>
      </c>
      <c r="I97" s="1" t="s">
        <v>14</v>
      </c>
    </row>
    <row r="98" spans="1:9" x14ac:dyDescent="0.25">
      <c r="A98" s="1" t="s">
        <v>181</v>
      </c>
      <c r="B98" s="1" t="s">
        <v>122</v>
      </c>
      <c r="C98" s="1" t="s">
        <v>17</v>
      </c>
      <c r="D98" s="1" t="s">
        <v>28</v>
      </c>
      <c r="E98" s="1" t="s">
        <v>123</v>
      </c>
      <c r="F98" s="1" t="s">
        <v>29</v>
      </c>
      <c r="G98" s="2">
        <v>45123</v>
      </c>
      <c r="H98" s="1" t="s">
        <v>43</v>
      </c>
      <c r="I98" s="1" t="s">
        <v>40</v>
      </c>
    </row>
    <row r="99" spans="1:9" x14ac:dyDescent="0.25">
      <c r="A99" s="1" t="s">
        <v>182</v>
      </c>
      <c r="B99" s="1" t="s">
        <v>336</v>
      </c>
      <c r="C99" s="1" t="s">
        <v>435</v>
      </c>
      <c r="D99" s="1" t="s">
        <v>28</v>
      </c>
      <c r="E99" s="1" t="s">
        <v>56</v>
      </c>
      <c r="F99" s="1" t="s">
        <v>29</v>
      </c>
      <c r="G99" s="2">
        <v>45346</v>
      </c>
      <c r="H99" s="1" t="s">
        <v>35</v>
      </c>
      <c r="I99" s="1" t="s">
        <v>14</v>
      </c>
    </row>
    <row r="100" spans="1:9" x14ac:dyDescent="0.25">
      <c r="A100" s="1" t="s">
        <v>183</v>
      </c>
      <c r="B100" s="1" t="s">
        <v>337</v>
      </c>
      <c r="C100" s="1" t="s">
        <v>436</v>
      </c>
      <c r="D100" s="1" t="s">
        <v>18</v>
      </c>
      <c r="E100" s="1" t="s">
        <v>58</v>
      </c>
      <c r="F100" s="1" t="s">
        <v>73</v>
      </c>
      <c r="G100" s="2">
        <v>45399</v>
      </c>
      <c r="H100" s="1" t="s">
        <v>35</v>
      </c>
      <c r="I100" s="1" t="s">
        <v>14</v>
      </c>
    </row>
    <row r="101" spans="1:9" x14ac:dyDescent="0.25">
      <c r="A101" s="1" t="s">
        <v>184</v>
      </c>
      <c r="B101" s="1" t="s">
        <v>336</v>
      </c>
      <c r="C101" s="1" t="s">
        <v>437</v>
      </c>
      <c r="D101" s="1" t="s">
        <v>11</v>
      </c>
      <c r="E101" s="1" t="s">
        <v>56</v>
      </c>
      <c r="F101" s="1" t="s">
        <v>12</v>
      </c>
      <c r="G101" s="2">
        <v>45229</v>
      </c>
      <c r="H101" s="1" t="s">
        <v>13</v>
      </c>
      <c r="I101" s="1" t="s">
        <v>60</v>
      </c>
    </row>
    <row r="102" spans="1:9" x14ac:dyDescent="0.25">
      <c r="A102" s="1" t="s">
        <v>185</v>
      </c>
      <c r="B102" s="1" t="s">
        <v>345</v>
      </c>
      <c r="C102" s="1" t="s">
        <v>438</v>
      </c>
      <c r="D102" s="1" t="s">
        <v>28</v>
      </c>
      <c r="E102" s="1" t="s">
        <v>82</v>
      </c>
      <c r="F102" s="1" t="s">
        <v>47</v>
      </c>
      <c r="G102" s="2">
        <v>45396</v>
      </c>
      <c r="H102" s="1" t="s">
        <v>35</v>
      </c>
      <c r="I102" s="1" t="s">
        <v>14</v>
      </c>
    </row>
    <row r="103" spans="1:9" x14ac:dyDescent="0.25">
      <c r="A103" s="1" t="s">
        <v>186</v>
      </c>
      <c r="B103" s="1" t="s">
        <v>339</v>
      </c>
      <c r="C103" s="1" t="s">
        <v>439</v>
      </c>
      <c r="D103" s="1" t="s">
        <v>33</v>
      </c>
      <c r="E103" s="1" t="s">
        <v>64</v>
      </c>
      <c r="F103" s="1" t="s">
        <v>67</v>
      </c>
      <c r="G103" s="2">
        <v>44962</v>
      </c>
      <c r="H103" s="1" t="s">
        <v>13</v>
      </c>
      <c r="I103" s="1" t="s">
        <v>40</v>
      </c>
    </row>
    <row r="104" spans="1:9" x14ac:dyDescent="0.25">
      <c r="A104" s="1" t="s">
        <v>187</v>
      </c>
      <c r="B104" s="1" t="s">
        <v>328</v>
      </c>
      <c r="C104" s="1" t="s">
        <v>440</v>
      </c>
      <c r="D104" s="1" t="s">
        <v>24</v>
      </c>
      <c r="E104" s="1" t="s">
        <v>16</v>
      </c>
      <c r="F104" s="1" t="s">
        <v>25</v>
      </c>
      <c r="G104" s="2">
        <v>45208</v>
      </c>
      <c r="H104" s="1" t="s">
        <v>20</v>
      </c>
      <c r="I104" s="1" t="s">
        <v>14</v>
      </c>
    </row>
    <row r="105" spans="1:9" x14ac:dyDescent="0.25">
      <c r="A105" s="1" t="s">
        <v>188</v>
      </c>
      <c r="B105" s="1" t="s">
        <v>189</v>
      </c>
      <c r="C105" s="1" t="s">
        <v>441</v>
      </c>
      <c r="D105" s="1" t="s">
        <v>28</v>
      </c>
      <c r="E105" s="1" t="s">
        <v>190</v>
      </c>
      <c r="F105" s="1" t="s">
        <v>29</v>
      </c>
      <c r="G105" s="2">
        <v>45267</v>
      </c>
      <c r="H105" s="1" t="s">
        <v>20</v>
      </c>
      <c r="I105" s="1" t="s">
        <v>14</v>
      </c>
    </row>
    <row r="106" spans="1:9" x14ac:dyDescent="0.25">
      <c r="A106" s="1" t="s">
        <v>191</v>
      </c>
      <c r="B106" s="1" t="s">
        <v>336</v>
      </c>
      <c r="C106" s="1" t="s">
        <v>442</v>
      </c>
      <c r="D106" s="1" t="s">
        <v>28</v>
      </c>
      <c r="E106" s="1" t="s">
        <v>56</v>
      </c>
      <c r="F106" s="1" t="s">
        <v>47</v>
      </c>
      <c r="G106" s="2">
        <v>45019</v>
      </c>
      <c r="H106" s="1" t="s">
        <v>13</v>
      </c>
      <c r="I106" s="1" t="s">
        <v>14</v>
      </c>
    </row>
    <row r="107" spans="1:9" x14ac:dyDescent="0.25">
      <c r="A107" s="1" t="s">
        <v>192</v>
      </c>
      <c r="B107" s="1" t="s">
        <v>371</v>
      </c>
      <c r="C107" s="1" t="s">
        <v>17</v>
      </c>
      <c r="D107" s="1" t="s">
        <v>18</v>
      </c>
      <c r="E107" s="1" t="s">
        <v>193</v>
      </c>
      <c r="F107" s="1" t="s">
        <v>90</v>
      </c>
      <c r="G107" s="2">
        <v>45009</v>
      </c>
      <c r="H107" s="1" t="s">
        <v>43</v>
      </c>
      <c r="I107" s="1" t="s">
        <v>14</v>
      </c>
    </row>
    <row r="108" spans="1:9" x14ac:dyDescent="0.25">
      <c r="A108" s="1" t="s">
        <v>194</v>
      </c>
      <c r="B108" s="1" t="s">
        <v>372</v>
      </c>
      <c r="C108" s="1" t="s">
        <v>443</v>
      </c>
      <c r="D108" s="1" t="s">
        <v>24</v>
      </c>
      <c r="E108" s="1" t="s">
        <v>195</v>
      </c>
      <c r="F108" s="1" t="s">
        <v>25</v>
      </c>
      <c r="G108" s="2">
        <v>45285</v>
      </c>
      <c r="H108" s="1" t="s">
        <v>20</v>
      </c>
      <c r="I108" s="1" t="s">
        <v>14</v>
      </c>
    </row>
    <row r="109" spans="1:9" x14ac:dyDescent="0.25">
      <c r="A109" s="1" t="s">
        <v>196</v>
      </c>
      <c r="B109" s="1" t="s">
        <v>354</v>
      </c>
      <c r="C109" s="1" t="s">
        <v>17</v>
      </c>
      <c r="D109" s="1" t="s">
        <v>24</v>
      </c>
      <c r="E109" s="1" t="s">
        <v>113</v>
      </c>
      <c r="F109" s="1" t="s">
        <v>25</v>
      </c>
      <c r="G109" s="2">
        <v>45269</v>
      </c>
      <c r="H109" s="1" t="s">
        <v>59</v>
      </c>
      <c r="I109" s="1" t="s">
        <v>40</v>
      </c>
    </row>
    <row r="110" spans="1:9" x14ac:dyDescent="0.25">
      <c r="A110" s="1" t="s">
        <v>197</v>
      </c>
      <c r="B110" s="1" t="s">
        <v>357</v>
      </c>
      <c r="C110" s="1" t="s">
        <v>17</v>
      </c>
      <c r="D110" s="1" t="s">
        <v>11</v>
      </c>
      <c r="E110" s="1" t="s">
        <v>144</v>
      </c>
      <c r="F110" s="1" t="s">
        <v>12</v>
      </c>
      <c r="G110" s="2">
        <v>45345</v>
      </c>
      <c r="H110" s="1" t="s">
        <v>35</v>
      </c>
      <c r="I110" s="1" t="s">
        <v>14</v>
      </c>
    </row>
    <row r="111" spans="1:9" x14ac:dyDescent="0.25">
      <c r="A111" s="1" t="s">
        <v>198</v>
      </c>
      <c r="B111" s="1" t="s">
        <v>373</v>
      </c>
      <c r="C111" s="1" t="s">
        <v>17</v>
      </c>
      <c r="D111" s="1" t="s">
        <v>18</v>
      </c>
      <c r="E111" s="1" t="s">
        <v>199</v>
      </c>
      <c r="F111" s="1" t="s">
        <v>19</v>
      </c>
      <c r="G111" s="2">
        <v>45284</v>
      </c>
      <c r="H111" s="1" t="s">
        <v>43</v>
      </c>
      <c r="I111" s="1" t="s">
        <v>14</v>
      </c>
    </row>
    <row r="112" spans="1:9" x14ac:dyDescent="0.25">
      <c r="A112" s="1" t="s">
        <v>200</v>
      </c>
      <c r="B112" s="1" t="s">
        <v>350</v>
      </c>
      <c r="C112" s="1" t="s">
        <v>17</v>
      </c>
      <c r="D112" s="1" t="s">
        <v>11</v>
      </c>
      <c r="E112" s="1" t="s">
        <v>100</v>
      </c>
      <c r="F112" s="1" t="s">
        <v>42</v>
      </c>
      <c r="G112" s="2">
        <v>45221</v>
      </c>
      <c r="H112" s="1" t="s">
        <v>13</v>
      </c>
      <c r="I112" s="1" t="s">
        <v>14</v>
      </c>
    </row>
    <row r="113" spans="1:9" x14ac:dyDescent="0.25">
      <c r="A113" s="1" t="s">
        <v>201</v>
      </c>
      <c r="B113" s="1" t="s">
        <v>189</v>
      </c>
      <c r="C113" s="1" t="s">
        <v>17</v>
      </c>
      <c r="D113" s="1" t="s">
        <v>18</v>
      </c>
      <c r="E113" s="1" t="s">
        <v>17</v>
      </c>
      <c r="F113" s="1" t="s">
        <v>90</v>
      </c>
      <c r="G113" s="2">
        <v>45276</v>
      </c>
      <c r="H113" s="1" t="s">
        <v>20</v>
      </c>
      <c r="I113" s="1" t="s">
        <v>14</v>
      </c>
    </row>
    <row r="114" spans="1:9" x14ac:dyDescent="0.25">
      <c r="A114" s="1" t="s">
        <v>202</v>
      </c>
      <c r="B114" s="1" t="s">
        <v>330</v>
      </c>
      <c r="C114" s="1" t="s">
        <v>17</v>
      </c>
      <c r="D114" s="1" t="s">
        <v>24</v>
      </c>
      <c r="E114" s="1" t="s">
        <v>37</v>
      </c>
      <c r="F114" s="1" t="s">
        <v>69</v>
      </c>
      <c r="G114" s="2">
        <v>45139</v>
      </c>
      <c r="H114" s="1" t="s">
        <v>20</v>
      </c>
      <c r="I114" s="1" t="s">
        <v>60</v>
      </c>
    </row>
    <row r="115" spans="1:9" x14ac:dyDescent="0.25">
      <c r="A115" s="1" t="s">
        <v>203</v>
      </c>
      <c r="B115" s="1" t="s">
        <v>359</v>
      </c>
      <c r="C115" s="1" t="s">
        <v>444</v>
      </c>
      <c r="D115" s="1" t="s">
        <v>18</v>
      </c>
      <c r="E115" s="1" t="s">
        <v>127</v>
      </c>
      <c r="F115" s="1" t="s">
        <v>90</v>
      </c>
      <c r="G115" s="2">
        <v>45063</v>
      </c>
      <c r="H115" s="1" t="s">
        <v>35</v>
      </c>
      <c r="I115" s="1" t="s">
        <v>14</v>
      </c>
    </row>
    <row r="116" spans="1:9" x14ac:dyDescent="0.25">
      <c r="A116" s="1" t="s">
        <v>204</v>
      </c>
      <c r="B116" s="1" t="s">
        <v>333</v>
      </c>
      <c r="C116" s="1" t="s">
        <v>17</v>
      </c>
      <c r="D116" s="1" t="s">
        <v>24</v>
      </c>
      <c r="E116" s="1" t="s">
        <v>50</v>
      </c>
      <c r="F116" s="1" t="s">
        <v>69</v>
      </c>
      <c r="G116" s="2">
        <v>45154</v>
      </c>
      <c r="H116" s="1" t="s">
        <v>43</v>
      </c>
      <c r="I116" s="1" t="s">
        <v>14</v>
      </c>
    </row>
    <row r="117" spans="1:9" x14ac:dyDescent="0.25">
      <c r="A117" s="1" t="s">
        <v>205</v>
      </c>
      <c r="B117" s="1" t="s">
        <v>359</v>
      </c>
      <c r="C117" s="1" t="s">
        <v>445</v>
      </c>
      <c r="D117" s="1" t="s">
        <v>28</v>
      </c>
      <c r="E117" s="1" t="s">
        <v>17</v>
      </c>
      <c r="F117" s="1" t="s">
        <v>29</v>
      </c>
      <c r="G117" s="2">
        <v>45171</v>
      </c>
      <c r="H117" s="1" t="s">
        <v>13</v>
      </c>
      <c r="I117" s="1" t="s">
        <v>14</v>
      </c>
    </row>
    <row r="118" spans="1:9" x14ac:dyDescent="0.25">
      <c r="A118" s="1" t="s">
        <v>206</v>
      </c>
      <c r="B118" s="1" t="s">
        <v>374</v>
      </c>
      <c r="C118" s="1" t="s">
        <v>446</v>
      </c>
      <c r="D118" s="1" t="s">
        <v>28</v>
      </c>
      <c r="E118" s="1" t="s">
        <v>207</v>
      </c>
      <c r="F118" s="1" t="s">
        <v>29</v>
      </c>
      <c r="G118" s="2">
        <v>45392</v>
      </c>
      <c r="H118" s="1" t="s">
        <v>35</v>
      </c>
      <c r="I118" s="1" t="s">
        <v>14</v>
      </c>
    </row>
    <row r="119" spans="1:9" x14ac:dyDescent="0.25">
      <c r="A119" s="1" t="s">
        <v>208</v>
      </c>
      <c r="B119" s="1" t="s">
        <v>359</v>
      </c>
      <c r="C119" s="1" t="s">
        <v>447</v>
      </c>
      <c r="D119" s="1" t="s">
        <v>11</v>
      </c>
      <c r="E119" s="1" t="s">
        <v>127</v>
      </c>
      <c r="F119" s="1" t="s">
        <v>12</v>
      </c>
      <c r="G119" s="2">
        <v>45267</v>
      </c>
      <c r="H119" s="1" t="s">
        <v>13</v>
      </c>
      <c r="I119" s="1" t="s">
        <v>14</v>
      </c>
    </row>
    <row r="120" spans="1:9" x14ac:dyDescent="0.25">
      <c r="A120" s="1" t="s">
        <v>209</v>
      </c>
      <c r="B120" s="1" t="s">
        <v>374</v>
      </c>
      <c r="C120" s="1" t="s">
        <v>17</v>
      </c>
      <c r="D120" s="1" t="s">
        <v>18</v>
      </c>
      <c r="E120" s="1" t="s">
        <v>17</v>
      </c>
      <c r="F120" s="1" t="s">
        <v>19</v>
      </c>
      <c r="G120" s="2">
        <v>45170</v>
      </c>
      <c r="H120" s="1" t="s">
        <v>43</v>
      </c>
      <c r="I120" s="1" t="s">
        <v>60</v>
      </c>
    </row>
    <row r="121" spans="1:9" x14ac:dyDescent="0.25">
      <c r="A121" s="1" t="s">
        <v>210</v>
      </c>
      <c r="B121" s="1"/>
      <c r="C121" s="1"/>
      <c r="D121" s="1" t="s">
        <v>33</v>
      </c>
      <c r="E121" s="1" t="s">
        <v>56</v>
      </c>
      <c r="F121" s="1" t="s">
        <v>34</v>
      </c>
      <c r="G121" s="2">
        <v>45375</v>
      </c>
      <c r="H121" s="1" t="s">
        <v>20</v>
      </c>
      <c r="I121" s="1" t="s">
        <v>14</v>
      </c>
    </row>
    <row r="122" spans="1:9" x14ac:dyDescent="0.25">
      <c r="A122" s="1" t="s">
        <v>142</v>
      </c>
      <c r="B122" s="1"/>
      <c r="C122" s="1"/>
      <c r="D122" s="1" t="s">
        <v>28</v>
      </c>
      <c r="E122" s="1" t="s">
        <v>17</v>
      </c>
      <c r="F122" s="1" t="s">
        <v>47</v>
      </c>
      <c r="G122" s="2">
        <v>45313</v>
      </c>
      <c r="H122" s="1" t="s">
        <v>43</v>
      </c>
      <c r="I122" s="1" t="s">
        <v>40</v>
      </c>
    </row>
    <row r="123" spans="1:9" x14ac:dyDescent="0.25">
      <c r="A123" s="1" t="s">
        <v>70</v>
      </c>
      <c r="B123" s="1"/>
      <c r="C123" s="1"/>
      <c r="D123" s="1" t="s">
        <v>11</v>
      </c>
      <c r="E123" s="1" t="s">
        <v>17</v>
      </c>
      <c r="F123" s="1" t="s">
        <v>42</v>
      </c>
      <c r="G123" s="2">
        <v>44946</v>
      </c>
      <c r="H123" s="1" t="s">
        <v>43</v>
      </c>
      <c r="I123" s="1" t="s">
        <v>60</v>
      </c>
    </row>
    <row r="124" spans="1:9" x14ac:dyDescent="0.25">
      <c r="A124" s="1" t="s">
        <v>204</v>
      </c>
      <c r="B124" s="1"/>
      <c r="C124" s="1"/>
      <c r="D124" s="1" t="s">
        <v>24</v>
      </c>
      <c r="E124" s="1" t="s">
        <v>50</v>
      </c>
      <c r="F124" s="1" t="s">
        <v>69</v>
      </c>
      <c r="G124" s="2">
        <v>45154</v>
      </c>
      <c r="H124" s="1" t="s">
        <v>43</v>
      </c>
      <c r="I124" s="1" t="s">
        <v>14</v>
      </c>
    </row>
    <row r="125" spans="1:9" x14ac:dyDescent="0.25">
      <c r="A125" s="1" t="s">
        <v>188</v>
      </c>
      <c r="B125" s="1"/>
      <c r="C125" s="1"/>
      <c r="D125" s="1" t="s">
        <v>28</v>
      </c>
      <c r="E125" s="1" t="s">
        <v>190</v>
      </c>
      <c r="F125" s="1" t="s">
        <v>29</v>
      </c>
      <c r="G125" s="2">
        <v>45267</v>
      </c>
      <c r="H125" s="1" t="s">
        <v>20</v>
      </c>
      <c r="I125" s="1" t="s">
        <v>14</v>
      </c>
    </row>
    <row r="126" spans="1:9" x14ac:dyDescent="0.25">
      <c r="A126" s="1" t="s">
        <v>169</v>
      </c>
      <c r="B126" s="1" t="s">
        <v>336</v>
      </c>
      <c r="C126" s="1" t="s">
        <v>448</v>
      </c>
      <c r="D126" s="1" t="s">
        <v>33</v>
      </c>
      <c r="E126" s="1" t="s">
        <v>17</v>
      </c>
      <c r="F126" s="1" t="s">
        <v>90</v>
      </c>
      <c r="G126" s="2">
        <v>45102</v>
      </c>
      <c r="H126" s="1" t="s">
        <v>59</v>
      </c>
      <c r="I126" s="1" t="s">
        <v>14</v>
      </c>
    </row>
  </sheetData>
  <phoneticPr fontId="1" type="noConversion"/>
  <dataValidations count="1">
    <dataValidation type="textLength" errorStyle="information" operator="equal" allowBlank="1" showInputMessage="1" showErrorMessage="1" errorTitle="Customer ID lenght" error="Customer ID is not 7 characters long." promptTitle="Customer ID is &amp; characters long" sqref="A1" xr:uid="{D8A57D37-61B1-43B3-8FFB-126F54C371DA}">
      <formula1>7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6DF1-33D5-45B7-98C5-280307A682FB}">
  <dimension ref="A1:E6"/>
  <sheetViews>
    <sheetView workbookViewId="0">
      <selection activeCell="E2" sqref="E2"/>
    </sheetView>
  </sheetViews>
  <sheetFormatPr defaultRowHeight="15" x14ac:dyDescent="0.25"/>
  <cols>
    <col min="1" max="1" width="12" bestFit="1" customWidth="1"/>
    <col min="2" max="2" width="12.42578125" bestFit="1" customWidth="1"/>
    <col min="3" max="3" width="12.140625" bestFit="1" customWidth="1"/>
    <col min="4" max="4" width="15.5703125" bestFit="1" customWidth="1"/>
    <col min="5" max="5" width="20.28515625" bestFit="1" customWidth="1"/>
  </cols>
  <sheetData>
    <row r="1" spans="1:5" x14ac:dyDescent="0.25">
      <c r="A1" t="s">
        <v>7</v>
      </c>
      <c r="B1" t="s">
        <v>318</v>
      </c>
      <c r="C1" t="s">
        <v>319</v>
      </c>
      <c r="D1" t="s">
        <v>320</v>
      </c>
      <c r="E1" t="s">
        <v>321</v>
      </c>
    </row>
    <row r="2" spans="1:5" x14ac:dyDescent="0.25">
      <c r="A2" s="1" t="s">
        <v>20</v>
      </c>
      <c r="B2" s="1" t="s">
        <v>322</v>
      </c>
      <c r="C2">
        <v>5000</v>
      </c>
      <c r="D2">
        <v>20</v>
      </c>
      <c r="E2">
        <v>500</v>
      </c>
    </row>
    <row r="3" spans="1:5" x14ac:dyDescent="0.25">
      <c r="A3" s="1" t="s">
        <v>13</v>
      </c>
      <c r="B3" s="1" t="s">
        <v>323</v>
      </c>
      <c r="C3">
        <v>10000</v>
      </c>
      <c r="D3">
        <v>60</v>
      </c>
      <c r="E3">
        <v>250</v>
      </c>
    </row>
    <row r="4" spans="1:5" x14ac:dyDescent="0.25">
      <c r="A4" s="1" t="s">
        <v>59</v>
      </c>
      <c r="B4" s="1" t="s">
        <v>324</v>
      </c>
      <c r="C4">
        <v>20000</v>
      </c>
      <c r="D4">
        <v>9999</v>
      </c>
      <c r="E4">
        <v>0</v>
      </c>
    </row>
    <row r="5" spans="1:5" x14ac:dyDescent="0.25">
      <c r="A5" s="1" t="s">
        <v>43</v>
      </c>
      <c r="B5" s="1" t="s">
        <v>325</v>
      </c>
      <c r="C5">
        <v>15000</v>
      </c>
      <c r="D5">
        <v>150</v>
      </c>
      <c r="E5">
        <v>100</v>
      </c>
    </row>
    <row r="6" spans="1:5" x14ac:dyDescent="0.25">
      <c r="A6" s="1" t="s">
        <v>35</v>
      </c>
      <c r="B6" s="1" t="s">
        <v>326</v>
      </c>
      <c r="C6">
        <v>50000</v>
      </c>
      <c r="D6">
        <v>9999</v>
      </c>
      <c r="E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E10E-D3D8-46F9-9810-BC03F698F3F9}">
  <dimension ref="A1:G232"/>
  <sheetViews>
    <sheetView workbookViewId="0">
      <selection activeCell="E1" sqref="E1:E1048576"/>
    </sheetView>
  </sheetViews>
  <sheetFormatPr defaultRowHeight="15" x14ac:dyDescent="0.25"/>
  <cols>
    <col min="1" max="1" width="15.85546875" bestFit="1" customWidth="1"/>
    <col min="2" max="2" width="14.28515625" bestFit="1" customWidth="1"/>
    <col min="3" max="3" width="14.5703125" bestFit="1" customWidth="1"/>
    <col min="4" max="4" width="15.5703125" bestFit="1" customWidth="1"/>
    <col min="5" max="5" width="18.140625" bestFit="1" customWidth="1"/>
    <col min="6" max="6" width="17" bestFit="1" customWidth="1"/>
  </cols>
  <sheetData>
    <row r="1" spans="1:7" x14ac:dyDescent="0.25">
      <c r="A1" t="s">
        <v>211</v>
      </c>
      <c r="B1" t="s">
        <v>0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 x14ac:dyDescent="0.25">
      <c r="A2" s="1" t="s">
        <v>217</v>
      </c>
      <c r="B2" s="1" t="s">
        <v>9</v>
      </c>
      <c r="C2" s="2">
        <v>45292</v>
      </c>
      <c r="D2">
        <v>52.34</v>
      </c>
      <c r="E2" s="1" t="s">
        <v>218</v>
      </c>
      <c r="F2" s="1" t="s">
        <v>219</v>
      </c>
      <c r="G2">
        <v>0</v>
      </c>
    </row>
    <row r="3" spans="1:7" x14ac:dyDescent="0.25">
      <c r="A3" s="1" t="s">
        <v>220</v>
      </c>
      <c r="B3" s="1" t="s">
        <v>9</v>
      </c>
      <c r="C3" s="2">
        <v>45323</v>
      </c>
      <c r="D3">
        <v>23.3</v>
      </c>
      <c r="E3" s="1" t="s">
        <v>218</v>
      </c>
      <c r="F3" s="1" t="s">
        <v>221</v>
      </c>
      <c r="G3">
        <v>0</v>
      </c>
    </row>
    <row r="4" spans="1:7" x14ac:dyDescent="0.25">
      <c r="A4" s="1" t="s">
        <v>222</v>
      </c>
      <c r="B4" s="1" t="s">
        <v>9</v>
      </c>
      <c r="C4" s="2">
        <v>45352</v>
      </c>
      <c r="D4">
        <v>77.78</v>
      </c>
      <c r="E4" s="1" t="s">
        <v>223</v>
      </c>
      <c r="F4" s="1" t="s">
        <v>219</v>
      </c>
      <c r="G4">
        <v>0</v>
      </c>
    </row>
    <row r="5" spans="1:7" x14ac:dyDescent="0.25">
      <c r="A5" s="1" t="s">
        <v>224</v>
      </c>
      <c r="B5" s="1" t="s">
        <v>15</v>
      </c>
      <c r="C5" s="2">
        <v>45292</v>
      </c>
      <c r="D5">
        <v>41.97</v>
      </c>
      <c r="E5" s="1" t="s">
        <v>218</v>
      </c>
      <c r="F5" s="1" t="s">
        <v>225</v>
      </c>
      <c r="G5">
        <v>1</v>
      </c>
    </row>
    <row r="6" spans="1:7" x14ac:dyDescent="0.25">
      <c r="A6" s="1" t="s">
        <v>226</v>
      </c>
      <c r="B6" s="1" t="s">
        <v>15</v>
      </c>
      <c r="C6" s="2">
        <v>45323</v>
      </c>
      <c r="D6">
        <v>36.56</v>
      </c>
      <c r="E6" s="1" t="s">
        <v>218</v>
      </c>
      <c r="F6" s="1" t="s">
        <v>225</v>
      </c>
      <c r="G6">
        <v>0</v>
      </c>
    </row>
    <row r="7" spans="1:7" x14ac:dyDescent="0.25">
      <c r="A7" s="1" t="s">
        <v>227</v>
      </c>
      <c r="B7" s="1" t="s">
        <v>15</v>
      </c>
      <c r="C7" s="2">
        <v>45352</v>
      </c>
      <c r="D7">
        <v>38.200000000000003</v>
      </c>
      <c r="E7" s="1" t="s">
        <v>218</v>
      </c>
      <c r="F7" s="1" t="s">
        <v>221</v>
      </c>
      <c r="G7">
        <v>1</v>
      </c>
    </row>
    <row r="8" spans="1:7" x14ac:dyDescent="0.25">
      <c r="A8" s="1" t="s">
        <v>228</v>
      </c>
      <c r="B8" s="1" t="s">
        <v>21</v>
      </c>
      <c r="C8" s="2">
        <v>45292</v>
      </c>
      <c r="D8">
        <v>44.75</v>
      </c>
      <c r="E8" s="1" t="s">
        <v>218</v>
      </c>
      <c r="F8" s="1" t="s">
        <v>225</v>
      </c>
      <c r="G8">
        <v>0</v>
      </c>
    </row>
    <row r="9" spans="1:7" x14ac:dyDescent="0.25">
      <c r="A9" s="1" t="s">
        <v>229</v>
      </c>
      <c r="B9" s="1" t="s">
        <v>21</v>
      </c>
      <c r="C9" s="2">
        <v>45323</v>
      </c>
      <c r="D9">
        <v>15.71</v>
      </c>
      <c r="E9" s="1" t="s">
        <v>218</v>
      </c>
      <c r="F9" s="1" t="s">
        <v>225</v>
      </c>
      <c r="G9">
        <v>0</v>
      </c>
    </row>
    <row r="10" spans="1:7" x14ac:dyDescent="0.25">
      <c r="A10" s="1" t="s">
        <v>230</v>
      </c>
      <c r="B10" s="1" t="s">
        <v>21</v>
      </c>
      <c r="C10" s="2">
        <v>45352</v>
      </c>
      <c r="D10">
        <v>44.59</v>
      </c>
      <c r="E10" s="1" t="s">
        <v>231</v>
      </c>
      <c r="F10" s="1" t="s">
        <v>221</v>
      </c>
      <c r="G10">
        <v>0</v>
      </c>
    </row>
    <row r="11" spans="1:7" x14ac:dyDescent="0.25">
      <c r="A11" s="1" t="s">
        <v>232</v>
      </c>
      <c r="B11" s="1" t="s">
        <v>26</v>
      </c>
      <c r="C11" s="2">
        <v>45292</v>
      </c>
      <c r="D11">
        <v>11.35</v>
      </c>
      <c r="E11" s="1" t="s">
        <v>223</v>
      </c>
      <c r="F11" s="1" t="s">
        <v>233</v>
      </c>
      <c r="G11">
        <v>0</v>
      </c>
    </row>
    <row r="12" spans="1:7" x14ac:dyDescent="0.25">
      <c r="A12" s="1" t="s">
        <v>234</v>
      </c>
      <c r="B12" s="1" t="s">
        <v>26</v>
      </c>
      <c r="C12" s="2">
        <v>45323</v>
      </c>
      <c r="D12">
        <v>31.62</v>
      </c>
      <c r="E12" s="1" t="s">
        <v>223</v>
      </c>
      <c r="F12" s="1" t="s">
        <v>225</v>
      </c>
      <c r="G12">
        <v>0</v>
      </c>
    </row>
    <row r="13" spans="1:7" x14ac:dyDescent="0.25">
      <c r="A13" s="1" t="s">
        <v>235</v>
      </c>
      <c r="B13" s="1" t="s">
        <v>26</v>
      </c>
      <c r="C13" s="2">
        <v>45352</v>
      </c>
      <c r="D13">
        <v>31.28</v>
      </c>
      <c r="E13" s="1" t="s">
        <v>223</v>
      </c>
      <c r="F13" s="1" t="s">
        <v>219</v>
      </c>
      <c r="G13">
        <v>1</v>
      </c>
    </row>
    <row r="14" spans="1:7" x14ac:dyDescent="0.25">
      <c r="A14" s="1" t="s">
        <v>236</v>
      </c>
      <c r="B14" s="1" t="s">
        <v>30</v>
      </c>
      <c r="C14" s="2">
        <v>45292</v>
      </c>
      <c r="D14">
        <v>53.8</v>
      </c>
      <c r="E14" s="1" t="s">
        <v>218</v>
      </c>
      <c r="F14" s="1" t="s">
        <v>219</v>
      </c>
      <c r="G14">
        <v>1</v>
      </c>
    </row>
    <row r="15" spans="1:7" x14ac:dyDescent="0.25">
      <c r="A15" s="1" t="s">
        <v>237</v>
      </c>
      <c r="B15" s="1" t="s">
        <v>30</v>
      </c>
      <c r="C15" s="2">
        <v>45323</v>
      </c>
      <c r="D15">
        <v>10.23</v>
      </c>
      <c r="E15" s="1" t="s">
        <v>218</v>
      </c>
      <c r="F15" s="1" t="s">
        <v>221</v>
      </c>
      <c r="G15">
        <v>0</v>
      </c>
    </row>
    <row r="16" spans="1:7" x14ac:dyDescent="0.25">
      <c r="A16" s="1" t="s">
        <v>238</v>
      </c>
      <c r="B16" s="1" t="s">
        <v>30</v>
      </c>
      <c r="C16" s="2">
        <v>45352</v>
      </c>
      <c r="D16">
        <v>74.52</v>
      </c>
      <c r="E16" s="1" t="s">
        <v>223</v>
      </c>
      <c r="F16" s="1" t="s">
        <v>219</v>
      </c>
      <c r="G16">
        <v>0</v>
      </c>
    </row>
    <row r="17" spans="1:7" x14ac:dyDescent="0.25">
      <c r="A17" s="1" t="s">
        <v>239</v>
      </c>
      <c r="B17" s="1" t="s">
        <v>36</v>
      </c>
      <c r="C17" s="2">
        <v>45292</v>
      </c>
      <c r="D17">
        <v>90.25</v>
      </c>
      <c r="E17" s="1" t="s">
        <v>218</v>
      </c>
      <c r="F17" s="1" t="s">
        <v>233</v>
      </c>
      <c r="G17">
        <v>1</v>
      </c>
    </row>
    <row r="18" spans="1:7" x14ac:dyDescent="0.25">
      <c r="A18" s="1" t="s">
        <v>240</v>
      </c>
      <c r="B18" s="1" t="s">
        <v>36</v>
      </c>
      <c r="C18" s="2">
        <v>45323</v>
      </c>
      <c r="D18">
        <v>94.26</v>
      </c>
      <c r="E18" s="1" t="s">
        <v>218</v>
      </c>
      <c r="F18" s="1" t="s">
        <v>225</v>
      </c>
      <c r="G18">
        <v>1</v>
      </c>
    </row>
    <row r="19" spans="1:7" x14ac:dyDescent="0.25">
      <c r="A19" s="1" t="s">
        <v>241</v>
      </c>
      <c r="B19" s="1" t="s">
        <v>36</v>
      </c>
      <c r="C19" s="2">
        <v>45352</v>
      </c>
      <c r="D19">
        <v>94.22</v>
      </c>
      <c r="E19" s="1" t="s">
        <v>218</v>
      </c>
      <c r="F19" s="1" t="s">
        <v>233</v>
      </c>
      <c r="G19">
        <v>0</v>
      </c>
    </row>
    <row r="20" spans="1:7" x14ac:dyDescent="0.25">
      <c r="A20" s="1" t="s">
        <v>242</v>
      </c>
      <c r="B20" s="1" t="s">
        <v>41</v>
      </c>
      <c r="C20" s="2">
        <v>45292</v>
      </c>
      <c r="D20">
        <v>48.24</v>
      </c>
      <c r="E20" s="1" t="s">
        <v>231</v>
      </c>
      <c r="F20" s="1" t="s">
        <v>219</v>
      </c>
      <c r="G20">
        <v>0</v>
      </c>
    </row>
    <row r="21" spans="1:7" x14ac:dyDescent="0.25">
      <c r="A21" s="1" t="s">
        <v>243</v>
      </c>
      <c r="B21" s="1" t="s">
        <v>41</v>
      </c>
      <c r="C21" s="2">
        <v>45323</v>
      </c>
      <c r="D21">
        <v>146.43</v>
      </c>
      <c r="E21" s="1" t="s">
        <v>218</v>
      </c>
      <c r="F21" s="1" t="s">
        <v>219</v>
      </c>
      <c r="G21">
        <v>0</v>
      </c>
    </row>
    <row r="22" spans="1:7" x14ac:dyDescent="0.25">
      <c r="A22" s="1" t="s">
        <v>244</v>
      </c>
      <c r="B22" s="1" t="s">
        <v>41</v>
      </c>
      <c r="C22" s="2">
        <v>45352</v>
      </c>
      <c r="D22">
        <v>116.03</v>
      </c>
      <c r="E22" s="1" t="s">
        <v>218</v>
      </c>
      <c r="F22" s="1" t="s">
        <v>221</v>
      </c>
      <c r="G22">
        <v>1</v>
      </c>
    </row>
    <row r="23" spans="1:7" x14ac:dyDescent="0.25">
      <c r="A23" s="1" t="s">
        <v>245</v>
      </c>
      <c r="B23" s="1" t="s">
        <v>44</v>
      </c>
      <c r="C23" s="2">
        <v>45292</v>
      </c>
      <c r="D23">
        <v>33.56</v>
      </c>
      <c r="E23" s="1" t="s">
        <v>218</v>
      </c>
      <c r="F23" s="1" t="s">
        <v>233</v>
      </c>
      <c r="G23">
        <v>0</v>
      </c>
    </row>
    <row r="24" spans="1:7" x14ac:dyDescent="0.25">
      <c r="A24" s="1" t="s">
        <v>246</v>
      </c>
      <c r="B24" s="1" t="s">
        <v>44</v>
      </c>
      <c r="C24" s="2">
        <v>45323</v>
      </c>
      <c r="D24">
        <v>98.66</v>
      </c>
      <c r="E24" s="1" t="s">
        <v>218</v>
      </c>
      <c r="F24" s="1" t="s">
        <v>225</v>
      </c>
      <c r="G24">
        <v>1</v>
      </c>
    </row>
    <row r="25" spans="1:7" x14ac:dyDescent="0.25">
      <c r="A25" s="1" t="s">
        <v>247</v>
      </c>
      <c r="B25" s="1" t="s">
        <v>44</v>
      </c>
      <c r="C25" s="2">
        <v>45352</v>
      </c>
      <c r="D25">
        <v>93.44</v>
      </c>
      <c r="E25" s="1" t="s">
        <v>218</v>
      </c>
      <c r="F25" s="1" t="s">
        <v>221</v>
      </c>
      <c r="G25">
        <v>0</v>
      </c>
    </row>
    <row r="26" spans="1:7" x14ac:dyDescent="0.25">
      <c r="A26" s="1" t="s">
        <v>248</v>
      </c>
      <c r="B26" s="1" t="s">
        <v>48</v>
      </c>
      <c r="C26" s="2">
        <v>45292</v>
      </c>
      <c r="D26">
        <v>103.35</v>
      </c>
      <c r="E26" s="1" t="s">
        <v>218</v>
      </c>
      <c r="F26" s="1" t="s">
        <v>221</v>
      </c>
      <c r="G26">
        <v>0</v>
      </c>
    </row>
    <row r="27" spans="1:7" x14ac:dyDescent="0.25">
      <c r="A27" s="1" t="s">
        <v>249</v>
      </c>
      <c r="B27" s="1" t="s">
        <v>48</v>
      </c>
      <c r="C27" s="2">
        <v>45323</v>
      </c>
      <c r="D27">
        <v>89.59</v>
      </c>
      <c r="E27" s="1" t="s">
        <v>218</v>
      </c>
      <c r="F27" s="1" t="s">
        <v>221</v>
      </c>
      <c r="G27">
        <v>0</v>
      </c>
    </row>
    <row r="28" spans="1:7" x14ac:dyDescent="0.25">
      <c r="A28" s="1" t="s">
        <v>250</v>
      </c>
      <c r="B28" s="1" t="s">
        <v>48</v>
      </c>
      <c r="C28" s="2">
        <v>45352</v>
      </c>
      <c r="D28">
        <v>139.38</v>
      </c>
      <c r="E28" s="1" t="s">
        <v>223</v>
      </c>
      <c r="F28" s="1" t="s">
        <v>219</v>
      </c>
      <c r="G28">
        <v>2</v>
      </c>
    </row>
    <row r="29" spans="1:7" x14ac:dyDescent="0.25">
      <c r="A29" s="1" t="s">
        <v>220</v>
      </c>
      <c r="B29" s="1" t="s">
        <v>49</v>
      </c>
      <c r="C29" s="2">
        <v>45292</v>
      </c>
      <c r="D29">
        <v>16.48</v>
      </c>
      <c r="E29" s="1" t="s">
        <v>218</v>
      </c>
      <c r="F29" s="1" t="s">
        <v>221</v>
      </c>
      <c r="G29">
        <v>1</v>
      </c>
    </row>
    <row r="30" spans="1:7" x14ac:dyDescent="0.25">
      <c r="A30" s="1" t="s">
        <v>251</v>
      </c>
      <c r="B30" s="1" t="s">
        <v>49</v>
      </c>
      <c r="C30" s="2">
        <v>45323</v>
      </c>
      <c r="D30">
        <v>42.54</v>
      </c>
      <c r="E30" s="1" t="s">
        <v>218</v>
      </c>
      <c r="F30" s="1" t="s">
        <v>225</v>
      </c>
      <c r="G30">
        <v>0</v>
      </c>
    </row>
    <row r="31" spans="1:7" x14ac:dyDescent="0.25">
      <c r="A31" s="1" t="s">
        <v>252</v>
      </c>
      <c r="B31" s="1" t="s">
        <v>49</v>
      </c>
      <c r="C31" s="2">
        <v>45352</v>
      </c>
      <c r="D31">
        <v>75.48</v>
      </c>
      <c r="E31" s="1" t="s">
        <v>218</v>
      </c>
      <c r="F31" s="1" t="s">
        <v>219</v>
      </c>
      <c r="G31">
        <v>0</v>
      </c>
    </row>
    <row r="32" spans="1:7" x14ac:dyDescent="0.25">
      <c r="A32" s="1" t="s">
        <v>253</v>
      </c>
      <c r="B32" s="1" t="s">
        <v>53</v>
      </c>
      <c r="C32" s="2">
        <v>45292</v>
      </c>
      <c r="D32">
        <v>65.8</v>
      </c>
      <c r="E32" s="1" t="s">
        <v>218</v>
      </c>
      <c r="F32" s="1" t="s">
        <v>219</v>
      </c>
      <c r="G32">
        <v>0</v>
      </c>
    </row>
    <row r="33" spans="1:7" x14ac:dyDescent="0.25">
      <c r="A33" s="1" t="s">
        <v>254</v>
      </c>
      <c r="B33" s="1" t="s">
        <v>53</v>
      </c>
      <c r="C33" s="2">
        <v>45323</v>
      </c>
      <c r="D33">
        <v>92.05</v>
      </c>
      <c r="E33" s="1" t="s">
        <v>218</v>
      </c>
      <c r="F33" s="1" t="s">
        <v>233</v>
      </c>
      <c r="G33">
        <v>0</v>
      </c>
    </row>
    <row r="34" spans="1:7" x14ac:dyDescent="0.25">
      <c r="A34" s="1" t="s">
        <v>255</v>
      </c>
      <c r="B34" s="1" t="s">
        <v>53</v>
      </c>
      <c r="C34" s="2">
        <v>45352</v>
      </c>
      <c r="D34">
        <v>40.159999999999997</v>
      </c>
      <c r="E34" s="1" t="s">
        <v>218</v>
      </c>
      <c r="F34" s="1" t="s">
        <v>225</v>
      </c>
      <c r="G34">
        <v>0</v>
      </c>
    </row>
    <row r="35" spans="1:7" x14ac:dyDescent="0.25">
      <c r="A35" s="1" t="s">
        <v>256</v>
      </c>
      <c r="B35" s="1" t="s">
        <v>55</v>
      </c>
      <c r="C35" s="2">
        <v>45292</v>
      </c>
      <c r="D35">
        <v>95.53</v>
      </c>
      <c r="E35" s="1" t="s">
        <v>218</v>
      </c>
      <c r="F35" s="1" t="s">
        <v>221</v>
      </c>
      <c r="G35">
        <v>0</v>
      </c>
    </row>
    <row r="36" spans="1:7" x14ac:dyDescent="0.25">
      <c r="A36" s="1" t="s">
        <v>257</v>
      </c>
      <c r="B36" s="1" t="s">
        <v>55</v>
      </c>
      <c r="C36" s="2">
        <v>45323</v>
      </c>
      <c r="D36">
        <v>114.73</v>
      </c>
      <c r="E36" s="1" t="s">
        <v>218</v>
      </c>
      <c r="F36" s="1" t="s">
        <v>225</v>
      </c>
      <c r="G36">
        <v>1</v>
      </c>
    </row>
    <row r="37" spans="1:7" x14ac:dyDescent="0.25">
      <c r="A37" s="1" t="s">
        <v>258</v>
      </c>
      <c r="B37" s="1" t="s">
        <v>55</v>
      </c>
      <c r="C37" s="2">
        <v>45352</v>
      </c>
      <c r="D37">
        <v>76.62</v>
      </c>
      <c r="E37" s="1" t="s">
        <v>223</v>
      </c>
      <c r="F37" s="1" t="s">
        <v>225</v>
      </c>
      <c r="G37">
        <v>0</v>
      </c>
    </row>
    <row r="38" spans="1:7" x14ac:dyDescent="0.25">
      <c r="A38" s="1" t="s">
        <v>259</v>
      </c>
      <c r="B38" s="1" t="s">
        <v>57</v>
      </c>
      <c r="C38" s="2">
        <v>45292</v>
      </c>
      <c r="D38">
        <v>63.15</v>
      </c>
      <c r="E38" s="1" t="s">
        <v>218</v>
      </c>
      <c r="F38" s="1" t="s">
        <v>221</v>
      </c>
      <c r="G38">
        <v>0</v>
      </c>
    </row>
    <row r="39" spans="1:7" x14ac:dyDescent="0.25">
      <c r="A39" s="1" t="s">
        <v>260</v>
      </c>
      <c r="B39" s="1" t="s">
        <v>57</v>
      </c>
      <c r="C39" s="2">
        <v>45323</v>
      </c>
      <c r="D39">
        <v>141.01</v>
      </c>
      <c r="E39" s="1" t="s">
        <v>218</v>
      </c>
      <c r="F39" s="1" t="s">
        <v>233</v>
      </c>
      <c r="G39">
        <v>0</v>
      </c>
    </row>
    <row r="40" spans="1:7" x14ac:dyDescent="0.25">
      <c r="A40" s="1" t="s">
        <v>261</v>
      </c>
      <c r="B40" s="1" t="s">
        <v>57</v>
      </c>
      <c r="C40" s="2">
        <v>45352</v>
      </c>
      <c r="D40">
        <v>131.74</v>
      </c>
      <c r="E40" s="1" t="s">
        <v>218</v>
      </c>
      <c r="F40" s="1" t="s">
        <v>219</v>
      </c>
      <c r="G40">
        <v>0</v>
      </c>
    </row>
    <row r="41" spans="1:7" x14ac:dyDescent="0.25">
      <c r="A41" s="1" t="s">
        <v>262</v>
      </c>
      <c r="B41" s="1" t="s">
        <v>61</v>
      </c>
      <c r="C41" s="2">
        <v>45292</v>
      </c>
      <c r="D41">
        <v>74.88</v>
      </c>
      <c r="E41" s="1" t="s">
        <v>231</v>
      </c>
      <c r="F41" s="1" t="s">
        <v>221</v>
      </c>
      <c r="G41">
        <v>0</v>
      </c>
    </row>
    <row r="42" spans="1:7" x14ac:dyDescent="0.25">
      <c r="A42" s="1" t="s">
        <v>263</v>
      </c>
      <c r="B42" s="1" t="s">
        <v>61</v>
      </c>
      <c r="C42" s="2">
        <v>45323</v>
      </c>
      <c r="D42">
        <v>8.0399999999999991</v>
      </c>
      <c r="E42" s="1" t="s">
        <v>223</v>
      </c>
      <c r="F42" s="1" t="s">
        <v>225</v>
      </c>
      <c r="G42">
        <v>0</v>
      </c>
    </row>
    <row r="43" spans="1:7" x14ac:dyDescent="0.25">
      <c r="A43" s="1" t="s">
        <v>264</v>
      </c>
      <c r="B43" s="1" t="s">
        <v>61</v>
      </c>
      <c r="C43" s="2">
        <v>45352</v>
      </c>
      <c r="D43">
        <v>43.23</v>
      </c>
      <c r="E43" s="1" t="s">
        <v>218</v>
      </c>
      <c r="F43" s="1" t="s">
        <v>225</v>
      </c>
      <c r="G43">
        <v>0</v>
      </c>
    </row>
    <row r="44" spans="1:7" x14ac:dyDescent="0.25">
      <c r="A44" s="1" t="s">
        <v>265</v>
      </c>
      <c r="B44" s="1" t="s">
        <v>63</v>
      </c>
      <c r="C44" s="2">
        <v>45292</v>
      </c>
      <c r="D44">
        <v>123.63</v>
      </c>
      <c r="E44" s="1" t="s">
        <v>218</v>
      </c>
      <c r="F44" s="1" t="s">
        <v>225</v>
      </c>
      <c r="G44">
        <v>1</v>
      </c>
    </row>
    <row r="45" spans="1:7" x14ac:dyDescent="0.25">
      <c r="A45" s="1" t="s">
        <v>266</v>
      </c>
      <c r="B45" s="1" t="s">
        <v>63</v>
      </c>
      <c r="C45" s="2">
        <v>45323</v>
      </c>
      <c r="D45">
        <v>80.819999999999993</v>
      </c>
      <c r="E45" s="1" t="s">
        <v>218</v>
      </c>
      <c r="F45" s="1" t="s">
        <v>221</v>
      </c>
      <c r="G45">
        <v>0</v>
      </c>
    </row>
    <row r="46" spans="1:7" x14ac:dyDescent="0.25">
      <c r="A46" s="1" t="s">
        <v>267</v>
      </c>
      <c r="B46" s="1" t="s">
        <v>63</v>
      </c>
      <c r="C46" s="2">
        <v>45352</v>
      </c>
      <c r="D46">
        <v>10.36</v>
      </c>
      <c r="E46" s="1" t="s">
        <v>223</v>
      </c>
      <c r="F46" s="1" t="s">
        <v>225</v>
      </c>
      <c r="G46">
        <v>0</v>
      </c>
    </row>
    <row r="47" spans="1:7" x14ac:dyDescent="0.25">
      <c r="A47" s="1" t="s">
        <v>268</v>
      </c>
      <c r="B47" s="1" t="s">
        <v>65</v>
      </c>
      <c r="C47" s="2">
        <v>45292</v>
      </c>
      <c r="D47">
        <v>15.68</v>
      </c>
      <c r="E47" s="1" t="s">
        <v>223</v>
      </c>
      <c r="F47" s="1" t="s">
        <v>219</v>
      </c>
      <c r="G47">
        <v>0</v>
      </c>
    </row>
    <row r="48" spans="1:7" x14ac:dyDescent="0.25">
      <c r="A48" s="1" t="s">
        <v>269</v>
      </c>
      <c r="B48" s="1" t="s">
        <v>65</v>
      </c>
      <c r="C48" s="2">
        <v>45323</v>
      </c>
      <c r="D48">
        <v>15.35</v>
      </c>
      <c r="E48" s="1" t="s">
        <v>218</v>
      </c>
      <c r="F48" s="1" t="s">
        <v>219</v>
      </c>
      <c r="G48">
        <v>0</v>
      </c>
    </row>
    <row r="49" spans="1:7" x14ac:dyDescent="0.25">
      <c r="A49" s="1" t="s">
        <v>270</v>
      </c>
      <c r="B49" s="1" t="s">
        <v>65</v>
      </c>
      <c r="C49" s="2">
        <v>45352</v>
      </c>
      <c r="D49">
        <v>19.34</v>
      </c>
      <c r="E49" s="1" t="s">
        <v>231</v>
      </c>
      <c r="F49" s="1" t="s">
        <v>225</v>
      </c>
      <c r="G49">
        <v>1</v>
      </c>
    </row>
    <row r="50" spans="1:7" x14ac:dyDescent="0.25">
      <c r="A50" s="1" t="s">
        <v>271</v>
      </c>
      <c r="B50" s="1" t="s">
        <v>66</v>
      </c>
      <c r="C50" s="2">
        <v>45292</v>
      </c>
      <c r="D50">
        <v>71.05</v>
      </c>
      <c r="E50" s="1" t="s">
        <v>218</v>
      </c>
      <c r="F50" s="1" t="s">
        <v>225</v>
      </c>
      <c r="G50">
        <v>0</v>
      </c>
    </row>
    <row r="51" spans="1:7" x14ac:dyDescent="0.25">
      <c r="A51" s="1" t="s">
        <v>272</v>
      </c>
      <c r="B51" s="1" t="s">
        <v>66</v>
      </c>
      <c r="C51" s="2">
        <v>45323</v>
      </c>
      <c r="D51">
        <v>65.34</v>
      </c>
      <c r="E51" s="1" t="s">
        <v>218</v>
      </c>
      <c r="F51" s="1" t="s">
        <v>225</v>
      </c>
      <c r="G51">
        <v>1</v>
      </c>
    </row>
    <row r="52" spans="1:7" x14ac:dyDescent="0.25">
      <c r="A52" s="1" t="s">
        <v>273</v>
      </c>
      <c r="B52" s="1" t="s">
        <v>66</v>
      </c>
      <c r="C52" s="2">
        <v>45352</v>
      </c>
      <c r="D52">
        <v>31.57</v>
      </c>
      <c r="E52" s="1" t="s">
        <v>218</v>
      </c>
      <c r="F52" s="1" t="s">
        <v>225</v>
      </c>
      <c r="G52">
        <v>0</v>
      </c>
    </row>
    <row r="53" spans="1:7" x14ac:dyDescent="0.25">
      <c r="A53" s="1" t="s">
        <v>274</v>
      </c>
      <c r="B53" s="1" t="s">
        <v>68</v>
      </c>
      <c r="C53" s="2">
        <v>45292</v>
      </c>
      <c r="D53">
        <v>128.74</v>
      </c>
      <c r="E53" s="1" t="s">
        <v>218</v>
      </c>
      <c r="F53" s="1" t="s">
        <v>225</v>
      </c>
      <c r="G53">
        <v>0</v>
      </c>
    </row>
    <row r="54" spans="1:7" x14ac:dyDescent="0.25">
      <c r="A54" s="1" t="s">
        <v>275</v>
      </c>
      <c r="B54" s="1" t="s">
        <v>68</v>
      </c>
      <c r="C54" s="2">
        <v>45323</v>
      </c>
      <c r="D54">
        <v>107.56</v>
      </c>
      <c r="E54" s="1" t="s">
        <v>218</v>
      </c>
      <c r="F54" s="1" t="s">
        <v>225</v>
      </c>
      <c r="G54">
        <v>0</v>
      </c>
    </row>
    <row r="55" spans="1:7" x14ac:dyDescent="0.25">
      <c r="A55" s="1" t="s">
        <v>276</v>
      </c>
      <c r="B55" s="1" t="s">
        <v>68</v>
      </c>
      <c r="C55" s="2">
        <v>45352</v>
      </c>
      <c r="D55">
        <v>118.89</v>
      </c>
      <c r="E55" s="1" t="s">
        <v>218</v>
      </c>
      <c r="F55" s="1" t="s">
        <v>221</v>
      </c>
      <c r="G55">
        <v>1</v>
      </c>
    </row>
    <row r="56" spans="1:7" x14ac:dyDescent="0.25">
      <c r="A56" s="1" t="s">
        <v>277</v>
      </c>
      <c r="B56" s="1" t="s">
        <v>70</v>
      </c>
      <c r="C56" s="2">
        <v>45292</v>
      </c>
      <c r="D56">
        <v>45.71</v>
      </c>
      <c r="E56" s="1" t="s">
        <v>231</v>
      </c>
      <c r="F56" s="1" t="s">
        <v>225</v>
      </c>
      <c r="G56">
        <v>2</v>
      </c>
    </row>
    <row r="57" spans="1:7" x14ac:dyDescent="0.25">
      <c r="A57" s="1" t="s">
        <v>278</v>
      </c>
      <c r="B57" s="1" t="s">
        <v>70</v>
      </c>
      <c r="C57" s="2">
        <v>45323</v>
      </c>
      <c r="D57">
        <v>122.37</v>
      </c>
      <c r="E57" s="1" t="s">
        <v>218</v>
      </c>
      <c r="F57" s="1" t="s">
        <v>221</v>
      </c>
      <c r="G57">
        <v>1</v>
      </c>
    </row>
    <row r="58" spans="1:7" x14ac:dyDescent="0.25">
      <c r="A58" s="1" t="s">
        <v>279</v>
      </c>
      <c r="B58" s="1" t="s">
        <v>70</v>
      </c>
      <c r="C58" s="2">
        <v>45352</v>
      </c>
      <c r="D58">
        <v>42.47</v>
      </c>
      <c r="E58" s="1" t="s">
        <v>218</v>
      </c>
      <c r="F58" s="1" t="s">
        <v>221</v>
      </c>
      <c r="G58">
        <v>1</v>
      </c>
    </row>
    <row r="59" spans="1:7" x14ac:dyDescent="0.25">
      <c r="A59" s="1" t="s">
        <v>280</v>
      </c>
      <c r="B59" s="1" t="s">
        <v>71</v>
      </c>
      <c r="C59" s="2">
        <v>45292</v>
      </c>
      <c r="D59">
        <v>114.73</v>
      </c>
      <c r="E59" s="1" t="s">
        <v>223</v>
      </c>
      <c r="F59" s="1" t="s">
        <v>225</v>
      </c>
      <c r="G59">
        <v>0</v>
      </c>
    </row>
    <row r="60" spans="1:7" x14ac:dyDescent="0.25">
      <c r="A60" s="1" t="s">
        <v>281</v>
      </c>
      <c r="B60" s="1" t="s">
        <v>71</v>
      </c>
      <c r="C60" s="2">
        <v>45323</v>
      </c>
      <c r="D60">
        <v>67.63</v>
      </c>
      <c r="E60" s="1" t="s">
        <v>218</v>
      </c>
      <c r="F60" s="1" t="s">
        <v>221</v>
      </c>
      <c r="G60">
        <v>0</v>
      </c>
    </row>
    <row r="61" spans="1:7" x14ac:dyDescent="0.25">
      <c r="A61" s="1" t="s">
        <v>282</v>
      </c>
      <c r="B61" s="1" t="s">
        <v>71</v>
      </c>
      <c r="C61" s="2">
        <v>45352</v>
      </c>
      <c r="D61">
        <v>33.06</v>
      </c>
      <c r="E61" s="1" t="s">
        <v>223</v>
      </c>
      <c r="F61" s="1" t="s">
        <v>219</v>
      </c>
      <c r="G61">
        <v>0</v>
      </c>
    </row>
    <row r="62" spans="1:7" x14ac:dyDescent="0.25">
      <c r="A62" s="1" t="s">
        <v>283</v>
      </c>
      <c r="B62" s="1" t="s">
        <v>75</v>
      </c>
      <c r="C62" s="2">
        <v>45292</v>
      </c>
      <c r="D62">
        <v>142.16999999999999</v>
      </c>
      <c r="E62" s="1" t="s">
        <v>223</v>
      </c>
      <c r="F62" s="1" t="s">
        <v>221</v>
      </c>
      <c r="G62">
        <v>0</v>
      </c>
    </row>
    <row r="63" spans="1:7" x14ac:dyDescent="0.25">
      <c r="A63" s="1" t="s">
        <v>284</v>
      </c>
      <c r="B63" s="1" t="s">
        <v>75</v>
      </c>
      <c r="C63" s="2">
        <v>45323</v>
      </c>
      <c r="D63">
        <v>122.95</v>
      </c>
      <c r="E63" s="1" t="s">
        <v>218</v>
      </c>
      <c r="F63" s="1" t="s">
        <v>225</v>
      </c>
      <c r="G63">
        <v>0</v>
      </c>
    </row>
    <row r="64" spans="1:7" x14ac:dyDescent="0.25">
      <c r="A64" s="1" t="s">
        <v>285</v>
      </c>
      <c r="B64" s="1" t="s">
        <v>75</v>
      </c>
      <c r="C64" s="2">
        <v>45352</v>
      </c>
      <c r="D64">
        <v>125.13</v>
      </c>
      <c r="E64" s="1" t="s">
        <v>218</v>
      </c>
      <c r="F64" s="1" t="s">
        <v>233</v>
      </c>
      <c r="G64">
        <v>0</v>
      </c>
    </row>
    <row r="65" spans="1:7" x14ac:dyDescent="0.25">
      <c r="A65" s="1" t="s">
        <v>286</v>
      </c>
      <c r="B65" s="1" t="s">
        <v>76</v>
      </c>
      <c r="C65" s="2">
        <v>45292</v>
      </c>
      <c r="D65">
        <v>139.75</v>
      </c>
      <c r="E65" s="1" t="s">
        <v>218</v>
      </c>
      <c r="F65" s="1" t="s">
        <v>225</v>
      </c>
      <c r="G65">
        <v>0</v>
      </c>
    </row>
    <row r="66" spans="1:7" x14ac:dyDescent="0.25">
      <c r="A66" s="1" t="s">
        <v>287</v>
      </c>
      <c r="B66" s="1" t="s">
        <v>76</v>
      </c>
      <c r="C66" s="2">
        <v>45323</v>
      </c>
      <c r="D66">
        <v>135.26</v>
      </c>
      <c r="E66" s="1" t="s">
        <v>218</v>
      </c>
      <c r="F66" s="1" t="s">
        <v>225</v>
      </c>
      <c r="G66">
        <v>0</v>
      </c>
    </row>
    <row r="67" spans="1:7" x14ac:dyDescent="0.25">
      <c r="A67" s="1" t="s">
        <v>288</v>
      </c>
      <c r="B67" s="1" t="s">
        <v>76</v>
      </c>
      <c r="C67" s="2">
        <v>45352</v>
      </c>
      <c r="D67">
        <v>57.19</v>
      </c>
      <c r="E67" s="1" t="s">
        <v>218</v>
      </c>
      <c r="F67" s="1" t="s">
        <v>221</v>
      </c>
      <c r="G67">
        <v>0</v>
      </c>
    </row>
    <row r="68" spans="1:7" x14ac:dyDescent="0.25">
      <c r="A68" s="1" t="s">
        <v>289</v>
      </c>
      <c r="B68" s="1" t="s">
        <v>77</v>
      </c>
      <c r="C68" s="2">
        <v>45292</v>
      </c>
      <c r="D68">
        <v>118.15</v>
      </c>
      <c r="E68" s="1" t="s">
        <v>218</v>
      </c>
      <c r="F68" s="1" t="s">
        <v>225</v>
      </c>
      <c r="G68">
        <v>0</v>
      </c>
    </row>
    <row r="69" spans="1:7" x14ac:dyDescent="0.25">
      <c r="A69" s="1" t="s">
        <v>290</v>
      </c>
      <c r="B69" s="1" t="s">
        <v>77</v>
      </c>
      <c r="C69" s="2">
        <v>45323</v>
      </c>
      <c r="D69">
        <v>23.3</v>
      </c>
      <c r="E69" s="1" t="s">
        <v>218</v>
      </c>
      <c r="F69" s="1" t="s">
        <v>219</v>
      </c>
      <c r="G69">
        <v>0</v>
      </c>
    </row>
    <row r="70" spans="1:7" x14ac:dyDescent="0.25">
      <c r="A70" s="1" t="s">
        <v>291</v>
      </c>
      <c r="B70" s="1" t="s">
        <v>77</v>
      </c>
      <c r="C70" s="2">
        <v>45352</v>
      </c>
      <c r="D70">
        <v>50.18</v>
      </c>
      <c r="E70" s="1" t="s">
        <v>218</v>
      </c>
      <c r="F70" s="1" t="s">
        <v>221</v>
      </c>
      <c r="G70">
        <v>0</v>
      </c>
    </row>
    <row r="71" spans="1:7" x14ac:dyDescent="0.25">
      <c r="A71" s="1" t="s">
        <v>292</v>
      </c>
      <c r="B71" s="1" t="s">
        <v>78</v>
      </c>
      <c r="C71" s="2">
        <v>45292</v>
      </c>
      <c r="D71">
        <v>148.97</v>
      </c>
      <c r="E71" s="1" t="s">
        <v>218</v>
      </c>
      <c r="F71" s="1" t="s">
        <v>225</v>
      </c>
      <c r="G71">
        <v>0</v>
      </c>
    </row>
    <row r="72" spans="1:7" x14ac:dyDescent="0.25">
      <c r="A72" s="1" t="s">
        <v>293</v>
      </c>
      <c r="B72" s="1" t="s">
        <v>78</v>
      </c>
      <c r="C72" s="2">
        <v>45323</v>
      </c>
      <c r="D72">
        <v>31.75</v>
      </c>
      <c r="E72" s="1" t="s">
        <v>218</v>
      </c>
      <c r="F72" s="1" t="s">
        <v>233</v>
      </c>
      <c r="G72">
        <v>0</v>
      </c>
    </row>
    <row r="73" spans="1:7" x14ac:dyDescent="0.25">
      <c r="A73" s="1" t="s">
        <v>294</v>
      </c>
      <c r="B73" s="1" t="s">
        <v>78</v>
      </c>
      <c r="C73" s="2">
        <v>45352</v>
      </c>
      <c r="D73">
        <v>145.44999999999999</v>
      </c>
      <c r="E73" s="1" t="s">
        <v>223</v>
      </c>
      <c r="F73" s="1" t="s">
        <v>233</v>
      </c>
      <c r="G73">
        <v>0</v>
      </c>
    </row>
    <row r="74" spans="1:7" x14ac:dyDescent="0.25">
      <c r="A74" s="1" t="s">
        <v>295</v>
      </c>
      <c r="B74" s="1" t="s">
        <v>81</v>
      </c>
      <c r="C74" s="2">
        <v>45292</v>
      </c>
      <c r="D74">
        <v>123.67</v>
      </c>
      <c r="E74" s="1" t="s">
        <v>231</v>
      </c>
      <c r="F74" s="1" t="s">
        <v>219</v>
      </c>
      <c r="G74">
        <v>0</v>
      </c>
    </row>
    <row r="75" spans="1:7" x14ac:dyDescent="0.25">
      <c r="A75" s="1" t="s">
        <v>296</v>
      </c>
      <c r="B75" s="1" t="s">
        <v>81</v>
      </c>
      <c r="C75" s="2">
        <v>45323</v>
      </c>
      <c r="D75">
        <v>110.15</v>
      </c>
      <c r="E75" s="1" t="s">
        <v>218</v>
      </c>
      <c r="F75" s="1" t="s">
        <v>233</v>
      </c>
      <c r="G75">
        <v>0</v>
      </c>
    </row>
    <row r="76" spans="1:7" x14ac:dyDescent="0.25">
      <c r="A76" s="1" t="s">
        <v>297</v>
      </c>
      <c r="B76" s="1" t="s">
        <v>81</v>
      </c>
      <c r="C76" s="2">
        <v>45352</v>
      </c>
      <c r="D76">
        <v>84.18</v>
      </c>
      <c r="E76" s="1" t="s">
        <v>218</v>
      </c>
      <c r="F76" s="1" t="s">
        <v>221</v>
      </c>
      <c r="G76">
        <v>0</v>
      </c>
    </row>
    <row r="77" spans="1:7" x14ac:dyDescent="0.25">
      <c r="A77" s="1" t="s">
        <v>298</v>
      </c>
      <c r="B77" s="1" t="s">
        <v>83</v>
      </c>
      <c r="C77" s="2">
        <v>45292</v>
      </c>
      <c r="D77">
        <v>74.959999999999994</v>
      </c>
      <c r="E77" s="1" t="s">
        <v>218</v>
      </c>
      <c r="F77" s="1" t="s">
        <v>219</v>
      </c>
      <c r="G77">
        <v>0</v>
      </c>
    </row>
    <row r="78" spans="1:7" x14ac:dyDescent="0.25">
      <c r="A78" s="1" t="s">
        <v>299</v>
      </c>
      <c r="B78" s="1" t="s">
        <v>83</v>
      </c>
      <c r="C78" s="2">
        <v>45323</v>
      </c>
      <c r="D78">
        <v>37.15</v>
      </c>
      <c r="E78" s="1" t="s">
        <v>223</v>
      </c>
      <c r="F78" s="1" t="s">
        <v>225</v>
      </c>
      <c r="G78">
        <v>0</v>
      </c>
    </row>
    <row r="79" spans="1:7" x14ac:dyDescent="0.25">
      <c r="A79" s="1" t="s">
        <v>300</v>
      </c>
      <c r="B79" s="1" t="s">
        <v>83</v>
      </c>
      <c r="C79" s="2">
        <v>45352</v>
      </c>
      <c r="D79">
        <v>131.52000000000001</v>
      </c>
      <c r="E79" s="1" t="s">
        <v>223</v>
      </c>
      <c r="F79" s="1" t="s">
        <v>225</v>
      </c>
      <c r="G79">
        <v>0</v>
      </c>
    </row>
    <row r="80" spans="1:7" x14ac:dyDescent="0.25">
      <c r="A80" s="1" t="s">
        <v>301</v>
      </c>
      <c r="B80" s="1" t="s">
        <v>84</v>
      </c>
      <c r="C80" s="2">
        <v>45292</v>
      </c>
      <c r="D80">
        <v>137.9</v>
      </c>
      <c r="E80" s="1" t="s">
        <v>218</v>
      </c>
      <c r="F80" s="1" t="s">
        <v>225</v>
      </c>
      <c r="G80">
        <v>0</v>
      </c>
    </row>
    <row r="81" spans="1:7" x14ac:dyDescent="0.25">
      <c r="A81" s="1" t="s">
        <v>302</v>
      </c>
      <c r="B81" s="1" t="s">
        <v>84</v>
      </c>
      <c r="C81" s="2">
        <v>45323</v>
      </c>
      <c r="D81">
        <v>52.37</v>
      </c>
      <c r="E81" s="1" t="s">
        <v>231</v>
      </c>
      <c r="F81" s="1" t="s">
        <v>225</v>
      </c>
      <c r="G81">
        <v>1</v>
      </c>
    </row>
    <row r="82" spans="1:7" x14ac:dyDescent="0.25">
      <c r="A82" s="1" t="s">
        <v>303</v>
      </c>
      <c r="B82" s="1" t="s">
        <v>84</v>
      </c>
      <c r="C82" s="2">
        <v>45352</v>
      </c>
      <c r="D82">
        <v>10.66</v>
      </c>
      <c r="E82" s="1" t="s">
        <v>218</v>
      </c>
      <c r="F82" s="1" t="s">
        <v>225</v>
      </c>
      <c r="G82">
        <v>2</v>
      </c>
    </row>
    <row r="83" spans="1:7" x14ac:dyDescent="0.25">
      <c r="A83" s="1" t="s">
        <v>304</v>
      </c>
      <c r="B83" s="1" t="s">
        <v>85</v>
      </c>
      <c r="C83" s="2">
        <v>45292</v>
      </c>
      <c r="D83">
        <v>92.51</v>
      </c>
      <c r="E83" s="1" t="s">
        <v>223</v>
      </c>
      <c r="F83" s="1" t="s">
        <v>225</v>
      </c>
      <c r="G83">
        <v>0</v>
      </c>
    </row>
    <row r="84" spans="1:7" x14ac:dyDescent="0.25">
      <c r="A84" s="1" t="s">
        <v>305</v>
      </c>
      <c r="B84" s="1" t="s">
        <v>85</v>
      </c>
      <c r="C84" s="2">
        <v>45323</v>
      </c>
      <c r="D84">
        <v>98.67</v>
      </c>
      <c r="E84" s="1" t="s">
        <v>231</v>
      </c>
      <c r="F84" s="1" t="s">
        <v>219</v>
      </c>
      <c r="G84">
        <v>0</v>
      </c>
    </row>
    <row r="85" spans="1:7" x14ac:dyDescent="0.25">
      <c r="A85" s="1" t="s">
        <v>306</v>
      </c>
      <c r="B85" s="1" t="s">
        <v>85</v>
      </c>
      <c r="C85" s="2">
        <v>45352</v>
      </c>
      <c r="D85">
        <v>65.98</v>
      </c>
      <c r="E85" s="1" t="s">
        <v>218</v>
      </c>
      <c r="F85" s="1" t="s">
        <v>221</v>
      </c>
      <c r="G85">
        <v>1</v>
      </c>
    </row>
    <row r="86" spans="1:7" x14ac:dyDescent="0.25">
      <c r="A86" s="1" t="s">
        <v>307</v>
      </c>
      <c r="B86" s="1" t="s">
        <v>87</v>
      </c>
      <c r="C86" s="2">
        <v>45292</v>
      </c>
      <c r="D86">
        <v>62.88</v>
      </c>
      <c r="E86" s="1" t="s">
        <v>218</v>
      </c>
      <c r="F86" s="1" t="s">
        <v>225</v>
      </c>
      <c r="G86">
        <v>0</v>
      </c>
    </row>
    <row r="87" spans="1:7" x14ac:dyDescent="0.25">
      <c r="A87" s="1" t="s">
        <v>308</v>
      </c>
      <c r="B87" s="1" t="s">
        <v>87</v>
      </c>
      <c r="C87" s="2">
        <v>45323</v>
      </c>
      <c r="D87">
        <v>38.54</v>
      </c>
      <c r="E87" s="1" t="s">
        <v>218</v>
      </c>
      <c r="F87" s="1" t="s">
        <v>221</v>
      </c>
      <c r="G87">
        <v>1</v>
      </c>
    </row>
    <row r="88" spans="1:7" x14ac:dyDescent="0.25">
      <c r="A88" s="1" t="s">
        <v>309</v>
      </c>
      <c r="B88" s="1" t="s">
        <v>87</v>
      </c>
      <c r="C88" s="2">
        <v>45352</v>
      </c>
      <c r="D88">
        <v>146.47</v>
      </c>
      <c r="E88" s="1" t="s">
        <v>218</v>
      </c>
      <c r="F88" s="1" t="s">
        <v>225</v>
      </c>
      <c r="G88">
        <v>0</v>
      </c>
    </row>
    <row r="89" spans="1:7" x14ac:dyDescent="0.25">
      <c r="A89" s="1" t="s">
        <v>310</v>
      </c>
      <c r="B89" s="1" t="s">
        <v>91</v>
      </c>
      <c r="C89" s="2">
        <v>45292</v>
      </c>
      <c r="D89">
        <v>36.56</v>
      </c>
      <c r="E89" s="1" t="s">
        <v>218</v>
      </c>
      <c r="F89" s="1" t="s">
        <v>225</v>
      </c>
      <c r="G89">
        <v>0</v>
      </c>
    </row>
    <row r="90" spans="1:7" x14ac:dyDescent="0.25">
      <c r="A90" s="1" t="s">
        <v>311</v>
      </c>
      <c r="B90" s="1" t="s">
        <v>91</v>
      </c>
      <c r="C90" s="2">
        <v>45323</v>
      </c>
      <c r="D90">
        <v>11.5</v>
      </c>
      <c r="E90" s="1" t="s">
        <v>218</v>
      </c>
      <c r="F90" s="1" t="s">
        <v>225</v>
      </c>
      <c r="G90">
        <v>0</v>
      </c>
    </row>
    <row r="91" spans="1:7" x14ac:dyDescent="0.25">
      <c r="A91" s="1" t="s">
        <v>312</v>
      </c>
      <c r="B91" s="1" t="s">
        <v>91</v>
      </c>
      <c r="C91" s="2">
        <v>45352</v>
      </c>
      <c r="D91">
        <v>10.96</v>
      </c>
      <c r="E91" s="1" t="s">
        <v>218</v>
      </c>
      <c r="F91" s="1" t="s">
        <v>233</v>
      </c>
      <c r="G91">
        <v>0</v>
      </c>
    </row>
    <row r="92" spans="1:7" x14ac:dyDescent="0.25">
      <c r="A92" s="1" t="s">
        <v>313</v>
      </c>
      <c r="B92" s="1" t="s">
        <v>93</v>
      </c>
      <c r="C92" s="2">
        <v>45292</v>
      </c>
      <c r="D92">
        <v>81.42</v>
      </c>
      <c r="E92" s="1" t="s">
        <v>218</v>
      </c>
      <c r="F92" s="1" t="s">
        <v>221</v>
      </c>
      <c r="G92">
        <v>0</v>
      </c>
    </row>
    <row r="93" spans="1:7" x14ac:dyDescent="0.25">
      <c r="A93" s="1" t="s">
        <v>314</v>
      </c>
      <c r="B93" s="1" t="s">
        <v>93</v>
      </c>
      <c r="C93" s="2">
        <v>45323</v>
      </c>
      <c r="D93">
        <v>123.63</v>
      </c>
      <c r="E93" s="1" t="s">
        <v>223</v>
      </c>
      <c r="F93" s="1" t="s">
        <v>225</v>
      </c>
      <c r="G93">
        <v>0</v>
      </c>
    </row>
    <row r="94" spans="1:7" x14ac:dyDescent="0.25">
      <c r="A94" s="1" t="s">
        <v>315</v>
      </c>
      <c r="B94" s="1" t="s">
        <v>93</v>
      </c>
      <c r="C94" s="2">
        <v>45352</v>
      </c>
      <c r="D94">
        <v>8.0399999999999991</v>
      </c>
      <c r="E94" s="1" t="s">
        <v>223</v>
      </c>
      <c r="F94" s="1" t="s">
        <v>221</v>
      </c>
      <c r="G94">
        <v>1</v>
      </c>
    </row>
    <row r="95" spans="1:7" x14ac:dyDescent="0.25">
      <c r="A95" s="1" t="s">
        <v>316</v>
      </c>
      <c r="B95" s="1" t="s">
        <v>95</v>
      </c>
      <c r="C95" s="2">
        <v>45292</v>
      </c>
      <c r="D95">
        <v>139.72999999999999</v>
      </c>
      <c r="E95" s="1" t="s">
        <v>218</v>
      </c>
      <c r="F95" s="1" t="s">
        <v>221</v>
      </c>
      <c r="G95">
        <v>2</v>
      </c>
    </row>
    <row r="96" spans="1:7" x14ac:dyDescent="0.25">
      <c r="A96" s="1" t="s">
        <v>317</v>
      </c>
      <c r="B96" s="1" t="s">
        <v>95</v>
      </c>
      <c r="C96" s="2">
        <v>45323</v>
      </c>
      <c r="D96">
        <v>135.26</v>
      </c>
      <c r="E96" s="1" t="s">
        <v>223</v>
      </c>
      <c r="F96" s="1" t="s">
        <v>225</v>
      </c>
      <c r="G96">
        <v>1</v>
      </c>
    </row>
    <row r="97" spans="1:7" x14ac:dyDescent="0.25">
      <c r="A97" s="1" t="s">
        <v>234</v>
      </c>
      <c r="B97" s="1" t="s">
        <v>95</v>
      </c>
      <c r="C97" s="2">
        <v>45352</v>
      </c>
      <c r="D97">
        <v>122.37</v>
      </c>
      <c r="E97" s="1" t="s">
        <v>218</v>
      </c>
      <c r="F97" s="1" t="s">
        <v>221</v>
      </c>
      <c r="G97">
        <v>0</v>
      </c>
    </row>
    <row r="98" spans="1:7" x14ac:dyDescent="0.25">
      <c r="A98" s="1" t="s">
        <v>254</v>
      </c>
      <c r="B98" s="1" t="s">
        <v>97</v>
      </c>
      <c r="C98" s="2">
        <v>45292</v>
      </c>
      <c r="D98">
        <v>62.15</v>
      </c>
      <c r="E98" s="1" t="s">
        <v>218</v>
      </c>
      <c r="F98" s="1" t="s">
        <v>219</v>
      </c>
      <c r="G98">
        <v>0</v>
      </c>
    </row>
    <row r="99" spans="1:7" x14ac:dyDescent="0.25">
      <c r="A99" s="1" t="s">
        <v>278</v>
      </c>
      <c r="B99" s="1" t="s">
        <v>97</v>
      </c>
      <c r="C99" s="2">
        <v>45323</v>
      </c>
      <c r="D99">
        <v>118.89</v>
      </c>
      <c r="E99" s="1" t="s">
        <v>218</v>
      </c>
      <c r="F99" s="1" t="s">
        <v>221</v>
      </c>
      <c r="G99">
        <v>0</v>
      </c>
    </row>
    <row r="100" spans="1:7" x14ac:dyDescent="0.25">
      <c r="A100" s="1" t="s">
        <v>302</v>
      </c>
      <c r="B100" s="1" t="s">
        <v>97</v>
      </c>
      <c r="C100" s="2">
        <v>45352</v>
      </c>
      <c r="D100">
        <v>31.75</v>
      </c>
      <c r="E100" s="1" t="s">
        <v>218</v>
      </c>
      <c r="F100" s="1" t="s">
        <v>233</v>
      </c>
      <c r="G100">
        <v>0</v>
      </c>
    </row>
    <row r="101" spans="1:7" x14ac:dyDescent="0.25">
      <c r="A101" s="1" t="s">
        <v>275</v>
      </c>
      <c r="B101" s="1" t="s">
        <v>101</v>
      </c>
      <c r="C101" s="2">
        <v>45292</v>
      </c>
      <c r="D101">
        <v>50.18</v>
      </c>
      <c r="E101" s="1" t="s">
        <v>218</v>
      </c>
      <c r="F101" s="1" t="s">
        <v>221</v>
      </c>
      <c r="G101">
        <v>0</v>
      </c>
    </row>
    <row r="102" spans="1:7" x14ac:dyDescent="0.25">
      <c r="A102" s="1" t="s">
        <v>251</v>
      </c>
      <c r="B102" s="1" t="s">
        <v>101</v>
      </c>
      <c r="C102" s="2">
        <v>45323</v>
      </c>
      <c r="D102">
        <v>125.13</v>
      </c>
      <c r="E102" s="1" t="s">
        <v>218</v>
      </c>
      <c r="F102" s="1" t="s">
        <v>233</v>
      </c>
      <c r="G102">
        <v>0</v>
      </c>
    </row>
    <row r="103" spans="1:7" x14ac:dyDescent="0.25">
      <c r="A103" s="1" t="s">
        <v>248</v>
      </c>
      <c r="B103" s="1" t="s">
        <v>101</v>
      </c>
      <c r="C103" s="2">
        <v>45352</v>
      </c>
      <c r="D103">
        <v>114.73</v>
      </c>
      <c r="E103" s="1" t="s">
        <v>218</v>
      </c>
      <c r="F103" s="1" t="s">
        <v>221</v>
      </c>
      <c r="G103">
        <v>0</v>
      </c>
    </row>
    <row r="104" spans="1:7" x14ac:dyDescent="0.25">
      <c r="A104" s="1" t="s">
        <v>244</v>
      </c>
      <c r="B104" s="1" t="s">
        <v>103</v>
      </c>
      <c r="C104" s="2">
        <v>45292</v>
      </c>
      <c r="D104">
        <v>75.48</v>
      </c>
      <c r="E104" s="1" t="s">
        <v>218</v>
      </c>
      <c r="F104" s="1" t="s">
        <v>219</v>
      </c>
      <c r="G104">
        <v>0</v>
      </c>
    </row>
    <row r="105" spans="1:7" x14ac:dyDescent="0.25">
      <c r="A105" s="1" t="s">
        <v>247</v>
      </c>
      <c r="B105" s="1" t="s">
        <v>103</v>
      </c>
      <c r="C105" s="2">
        <v>45323</v>
      </c>
      <c r="D105">
        <v>131.74</v>
      </c>
      <c r="E105" s="1" t="s">
        <v>218</v>
      </c>
      <c r="F105" s="1" t="s">
        <v>219</v>
      </c>
      <c r="G105">
        <v>0</v>
      </c>
    </row>
    <row r="106" spans="1:7" x14ac:dyDescent="0.25">
      <c r="A106" s="1" t="s">
        <v>243</v>
      </c>
      <c r="B106" s="1" t="s">
        <v>103</v>
      </c>
      <c r="C106" s="2">
        <v>45352</v>
      </c>
      <c r="D106">
        <v>76.62</v>
      </c>
      <c r="E106" s="1" t="s">
        <v>223</v>
      </c>
      <c r="F106" s="1" t="s">
        <v>225</v>
      </c>
      <c r="G106">
        <v>0</v>
      </c>
    </row>
    <row r="107" spans="1:7" x14ac:dyDescent="0.25">
      <c r="A107" s="1" t="s">
        <v>242</v>
      </c>
      <c r="B107" s="1" t="s">
        <v>106</v>
      </c>
      <c r="C107" s="2">
        <v>45292</v>
      </c>
      <c r="D107">
        <v>40.159999999999997</v>
      </c>
      <c r="E107" s="1" t="s">
        <v>218</v>
      </c>
      <c r="F107" s="1" t="s">
        <v>225</v>
      </c>
      <c r="G107">
        <v>0</v>
      </c>
    </row>
    <row r="108" spans="1:7" x14ac:dyDescent="0.25">
      <c r="A108" s="1" t="s">
        <v>235</v>
      </c>
      <c r="B108" s="1" t="s">
        <v>106</v>
      </c>
      <c r="C108" s="2">
        <v>45323</v>
      </c>
      <c r="D108">
        <v>93.44</v>
      </c>
      <c r="E108" s="1" t="s">
        <v>218</v>
      </c>
      <c r="F108" s="1" t="s">
        <v>221</v>
      </c>
      <c r="G108">
        <v>0</v>
      </c>
    </row>
    <row r="109" spans="1:7" x14ac:dyDescent="0.25">
      <c r="A109" s="1" t="s">
        <v>234</v>
      </c>
      <c r="B109" s="1" t="s">
        <v>106</v>
      </c>
      <c r="C109" s="2">
        <v>45352</v>
      </c>
      <c r="D109">
        <v>139.38</v>
      </c>
      <c r="E109" s="1" t="s">
        <v>223</v>
      </c>
      <c r="F109" s="1" t="s">
        <v>219</v>
      </c>
      <c r="G109">
        <v>2</v>
      </c>
    </row>
    <row r="110" spans="1:7" x14ac:dyDescent="0.25">
      <c r="A110" s="1" t="s">
        <v>232</v>
      </c>
      <c r="B110" s="1" t="s">
        <v>107</v>
      </c>
      <c r="C110" s="2">
        <v>45292</v>
      </c>
      <c r="D110">
        <v>31.28</v>
      </c>
      <c r="E110" s="1" t="s">
        <v>223</v>
      </c>
      <c r="F110" s="1" t="s">
        <v>219</v>
      </c>
      <c r="G110">
        <v>1</v>
      </c>
    </row>
    <row r="111" spans="1:7" x14ac:dyDescent="0.25">
      <c r="A111" s="1" t="s">
        <v>230</v>
      </c>
      <c r="B111" s="1" t="s">
        <v>107</v>
      </c>
      <c r="C111" s="2">
        <v>45323</v>
      </c>
      <c r="D111">
        <v>74.52</v>
      </c>
      <c r="E111" s="1" t="s">
        <v>223</v>
      </c>
      <c r="F111" s="1" t="s">
        <v>219</v>
      </c>
      <c r="G111">
        <v>0</v>
      </c>
    </row>
    <row r="112" spans="1:7" x14ac:dyDescent="0.25">
      <c r="A112" s="1" t="s">
        <v>229</v>
      </c>
      <c r="B112" s="1" t="s">
        <v>107</v>
      </c>
      <c r="C112" s="2">
        <v>45352</v>
      </c>
      <c r="D112">
        <v>10.23</v>
      </c>
      <c r="E112" s="1" t="s">
        <v>218</v>
      </c>
      <c r="F112" s="1" t="s">
        <v>221</v>
      </c>
      <c r="G112">
        <v>0</v>
      </c>
    </row>
    <row r="113" spans="1:7" x14ac:dyDescent="0.25">
      <c r="A113" s="1" t="s">
        <v>228</v>
      </c>
      <c r="B113" s="1" t="s">
        <v>108</v>
      </c>
      <c r="C113" s="2">
        <v>45292</v>
      </c>
      <c r="D113">
        <v>31.62</v>
      </c>
      <c r="E113" s="1" t="s">
        <v>223</v>
      </c>
      <c r="F113" s="1" t="s">
        <v>225</v>
      </c>
      <c r="G113">
        <v>0</v>
      </c>
    </row>
    <row r="114" spans="1:7" x14ac:dyDescent="0.25">
      <c r="A114" s="1" t="s">
        <v>227</v>
      </c>
      <c r="B114" s="1" t="s">
        <v>108</v>
      </c>
      <c r="C114" s="2">
        <v>45323</v>
      </c>
      <c r="D114">
        <v>44.59</v>
      </c>
      <c r="E114" s="1" t="s">
        <v>231</v>
      </c>
      <c r="F114" s="1" t="s">
        <v>221</v>
      </c>
      <c r="G114">
        <v>0</v>
      </c>
    </row>
    <row r="115" spans="1:7" x14ac:dyDescent="0.25">
      <c r="A115" s="1" t="s">
        <v>226</v>
      </c>
      <c r="B115" s="1" t="s">
        <v>108</v>
      </c>
      <c r="C115" s="2">
        <v>45352</v>
      </c>
      <c r="D115">
        <v>11.35</v>
      </c>
      <c r="E115" s="1" t="s">
        <v>223</v>
      </c>
      <c r="F115" s="1" t="s">
        <v>233</v>
      </c>
      <c r="G115">
        <v>0</v>
      </c>
    </row>
    <row r="116" spans="1:7" x14ac:dyDescent="0.25">
      <c r="A116" s="1" t="s">
        <v>224</v>
      </c>
      <c r="B116" s="1" t="s">
        <v>109</v>
      </c>
      <c r="C116" s="2">
        <v>45292</v>
      </c>
      <c r="D116">
        <v>15.71</v>
      </c>
      <c r="E116" s="1" t="s">
        <v>218</v>
      </c>
      <c r="F116" s="1" t="s">
        <v>225</v>
      </c>
      <c r="G116">
        <v>0</v>
      </c>
    </row>
    <row r="117" spans="1:7" x14ac:dyDescent="0.25">
      <c r="A117" s="1" t="s">
        <v>222</v>
      </c>
      <c r="B117" s="1" t="s">
        <v>109</v>
      </c>
      <c r="C117" s="2">
        <v>45323</v>
      </c>
      <c r="D117">
        <v>44.75</v>
      </c>
      <c r="E117" s="1" t="s">
        <v>218</v>
      </c>
      <c r="F117" s="1" t="s">
        <v>225</v>
      </c>
      <c r="G117">
        <v>0</v>
      </c>
    </row>
    <row r="118" spans="1:7" x14ac:dyDescent="0.25">
      <c r="A118" s="1" t="s">
        <v>217</v>
      </c>
      <c r="B118" s="1" t="s">
        <v>109</v>
      </c>
      <c r="C118" s="2">
        <v>45352</v>
      </c>
      <c r="D118">
        <v>38.200000000000003</v>
      </c>
      <c r="E118" s="1" t="s">
        <v>218</v>
      </c>
      <c r="F118" s="1" t="s">
        <v>221</v>
      </c>
      <c r="G118">
        <v>1</v>
      </c>
    </row>
    <row r="119" spans="1:7" x14ac:dyDescent="0.25">
      <c r="A119" s="1" t="s">
        <v>238</v>
      </c>
      <c r="B119" s="1" t="s">
        <v>111</v>
      </c>
      <c r="C119" s="2">
        <v>45292</v>
      </c>
      <c r="D119">
        <v>36.56</v>
      </c>
      <c r="E119" s="1" t="s">
        <v>218</v>
      </c>
      <c r="F119" s="1" t="s">
        <v>225</v>
      </c>
      <c r="G119">
        <v>0</v>
      </c>
    </row>
    <row r="120" spans="1:7" x14ac:dyDescent="0.25">
      <c r="A120" s="1" t="s">
        <v>237</v>
      </c>
      <c r="B120" s="1" t="s">
        <v>111</v>
      </c>
      <c r="C120" s="2">
        <v>45323</v>
      </c>
      <c r="D120">
        <v>41.97</v>
      </c>
      <c r="E120" s="1" t="s">
        <v>218</v>
      </c>
      <c r="F120" s="1" t="s">
        <v>225</v>
      </c>
      <c r="G120">
        <v>1</v>
      </c>
    </row>
    <row r="121" spans="1:7" x14ac:dyDescent="0.25">
      <c r="A121" s="1" t="s">
        <v>236</v>
      </c>
      <c r="B121" s="1" t="s">
        <v>111</v>
      </c>
      <c r="C121" s="2">
        <v>45352</v>
      </c>
      <c r="D121">
        <v>77.78</v>
      </c>
      <c r="E121" s="1" t="s">
        <v>223</v>
      </c>
      <c r="F121" s="1" t="s">
        <v>219</v>
      </c>
      <c r="G121">
        <v>0</v>
      </c>
    </row>
    <row r="122" spans="1:7" x14ac:dyDescent="0.25">
      <c r="A122" s="1" t="s">
        <v>241</v>
      </c>
      <c r="B122" s="1" t="s">
        <v>112</v>
      </c>
      <c r="C122" s="2">
        <v>45292</v>
      </c>
      <c r="D122">
        <v>23.3</v>
      </c>
      <c r="E122" s="1" t="s">
        <v>218</v>
      </c>
      <c r="F122" s="1" t="s">
        <v>221</v>
      </c>
      <c r="G122">
        <v>0</v>
      </c>
    </row>
    <row r="123" spans="1:7" x14ac:dyDescent="0.25">
      <c r="A123" s="1" t="s">
        <v>240</v>
      </c>
      <c r="B123" s="1" t="s">
        <v>112</v>
      </c>
      <c r="C123" s="2">
        <v>45323</v>
      </c>
      <c r="D123">
        <v>52.34</v>
      </c>
      <c r="E123" s="1" t="s">
        <v>218</v>
      </c>
      <c r="F123" s="1" t="s">
        <v>219</v>
      </c>
      <c r="G123">
        <v>0</v>
      </c>
    </row>
    <row r="124" spans="1:7" x14ac:dyDescent="0.25">
      <c r="A124" s="1" t="s">
        <v>239</v>
      </c>
      <c r="B124" s="1" t="s">
        <v>112</v>
      </c>
      <c r="C124" s="2">
        <v>45352</v>
      </c>
      <c r="D124">
        <v>94.22</v>
      </c>
      <c r="E124" s="1" t="s">
        <v>218</v>
      </c>
      <c r="F124" s="1" t="s">
        <v>233</v>
      </c>
      <c r="G124">
        <v>0</v>
      </c>
    </row>
    <row r="125" spans="1:7" x14ac:dyDescent="0.25">
      <c r="A125" s="1" t="s">
        <v>273</v>
      </c>
      <c r="B125" s="1" t="s">
        <v>114</v>
      </c>
      <c r="C125" s="2">
        <v>45292</v>
      </c>
      <c r="D125">
        <v>94.26</v>
      </c>
      <c r="E125" s="1" t="s">
        <v>218</v>
      </c>
      <c r="F125" s="1" t="s">
        <v>225</v>
      </c>
      <c r="G125">
        <v>1</v>
      </c>
    </row>
    <row r="126" spans="1:7" x14ac:dyDescent="0.25">
      <c r="A126" s="1" t="s">
        <v>272</v>
      </c>
      <c r="B126" s="1" t="s">
        <v>114</v>
      </c>
      <c r="C126" s="2">
        <v>45323</v>
      </c>
      <c r="D126">
        <v>90.25</v>
      </c>
      <c r="E126" s="1" t="s">
        <v>218</v>
      </c>
      <c r="F126" s="1" t="s">
        <v>233</v>
      </c>
      <c r="G126">
        <v>1</v>
      </c>
    </row>
    <row r="127" spans="1:7" x14ac:dyDescent="0.25">
      <c r="A127" s="1" t="s">
        <v>271</v>
      </c>
      <c r="B127" s="1" t="s">
        <v>114</v>
      </c>
      <c r="C127" s="2">
        <v>45352</v>
      </c>
      <c r="D127">
        <v>116.03</v>
      </c>
      <c r="E127" s="1" t="s">
        <v>218</v>
      </c>
      <c r="F127" s="1" t="s">
        <v>221</v>
      </c>
      <c r="G127">
        <v>1</v>
      </c>
    </row>
    <row r="128" spans="1:7" x14ac:dyDescent="0.25">
      <c r="A128" s="1" t="s">
        <v>270</v>
      </c>
      <c r="B128" s="1" t="s">
        <v>116</v>
      </c>
      <c r="C128" s="2">
        <v>45292</v>
      </c>
      <c r="D128">
        <v>146.43</v>
      </c>
      <c r="E128" s="1" t="s">
        <v>218</v>
      </c>
      <c r="F128" s="1" t="s">
        <v>219</v>
      </c>
      <c r="G128">
        <v>0</v>
      </c>
    </row>
    <row r="129" spans="1:7" x14ac:dyDescent="0.25">
      <c r="A129" s="1" t="s">
        <v>269</v>
      </c>
      <c r="B129" s="1" t="s">
        <v>116</v>
      </c>
      <c r="C129" s="2">
        <v>45323</v>
      </c>
      <c r="D129">
        <v>48.24</v>
      </c>
      <c r="E129" s="1" t="s">
        <v>231</v>
      </c>
      <c r="F129" s="1" t="s">
        <v>219</v>
      </c>
      <c r="G129">
        <v>0</v>
      </c>
    </row>
    <row r="130" spans="1:7" x14ac:dyDescent="0.25">
      <c r="A130" s="1" t="s">
        <v>268</v>
      </c>
      <c r="B130" s="1" t="s">
        <v>116</v>
      </c>
      <c r="C130" s="2">
        <v>45352</v>
      </c>
      <c r="D130">
        <v>31.57</v>
      </c>
      <c r="E130" s="1" t="s">
        <v>218</v>
      </c>
      <c r="F130" s="1" t="s">
        <v>225</v>
      </c>
      <c r="G130">
        <v>0</v>
      </c>
    </row>
    <row r="131" spans="1:7" x14ac:dyDescent="0.25">
      <c r="A131" s="1" t="s">
        <v>267</v>
      </c>
      <c r="B131" s="1" t="s">
        <v>118</v>
      </c>
      <c r="C131" s="2">
        <v>45292</v>
      </c>
      <c r="D131">
        <v>65.34</v>
      </c>
      <c r="E131" s="1" t="s">
        <v>218</v>
      </c>
      <c r="F131" s="1" t="s">
        <v>225</v>
      </c>
      <c r="G131">
        <v>1</v>
      </c>
    </row>
    <row r="132" spans="1:7" x14ac:dyDescent="0.25">
      <c r="A132" s="1" t="s">
        <v>266</v>
      </c>
      <c r="B132" s="1" t="s">
        <v>118</v>
      </c>
      <c r="C132" s="2">
        <v>45323</v>
      </c>
      <c r="D132">
        <v>71.05</v>
      </c>
      <c r="E132" s="1" t="s">
        <v>218</v>
      </c>
      <c r="F132" s="1" t="s">
        <v>225</v>
      </c>
      <c r="G132">
        <v>0</v>
      </c>
    </row>
    <row r="133" spans="1:7" x14ac:dyDescent="0.25">
      <c r="A133" s="1" t="s">
        <v>265</v>
      </c>
      <c r="B133" s="1" t="s">
        <v>118</v>
      </c>
      <c r="C133" s="2">
        <v>45352</v>
      </c>
      <c r="D133">
        <v>19.34</v>
      </c>
      <c r="E133" s="1" t="s">
        <v>231</v>
      </c>
      <c r="F133" s="1" t="s">
        <v>225</v>
      </c>
      <c r="G133">
        <v>1</v>
      </c>
    </row>
    <row r="134" spans="1:7" x14ac:dyDescent="0.25">
      <c r="A134" s="1" t="s">
        <v>264</v>
      </c>
      <c r="B134" s="1" t="s">
        <v>119</v>
      </c>
      <c r="C134" s="2">
        <v>45292</v>
      </c>
      <c r="D134">
        <v>15.35</v>
      </c>
      <c r="E134" s="1" t="s">
        <v>218</v>
      </c>
      <c r="F134" s="1" t="s">
        <v>219</v>
      </c>
      <c r="G134">
        <v>0</v>
      </c>
    </row>
    <row r="135" spans="1:7" x14ac:dyDescent="0.25">
      <c r="A135" s="1" t="s">
        <v>263</v>
      </c>
      <c r="B135" s="1" t="s">
        <v>119</v>
      </c>
      <c r="C135" s="2">
        <v>45323</v>
      </c>
      <c r="D135">
        <v>15.68</v>
      </c>
      <c r="E135" s="1" t="s">
        <v>223</v>
      </c>
      <c r="F135" s="1" t="s">
        <v>219</v>
      </c>
      <c r="G135">
        <v>0</v>
      </c>
    </row>
    <row r="136" spans="1:7" x14ac:dyDescent="0.25">
      <c r="A136" s="1" t="s">
        <v>262</v>
      </c>
      <c r="B136" s="1" t="s">
        <v>119</v>
      </c>
      <c r="C136" s="2">
        <v>45352</v>
      </c>
      <c r="D136">
        <v>10.36</v>
      </c>
      <c r="E136" s="1" t="s">
        <v>223</v>
      </c>
      <c r="F136" s="1" t="s">
        <v>225</v>
      </c>
      <c r="G136">
        <v>0</v>
      </c>
    </row>
    <row r="137" spans="1:7" x14ac:dyDescent="0.25">
      <c r="A137" s="1" t="s">
        <v>261</v>
      </c>
      <c r="B137" s="1" t="s">
        <v>120</v>
      </c>
      <c r="C137" s="2">
        <v>45292</v>
      </c>
      <c r="D137">
        <v>80.819999999999993</v>
      </c>
      <c r="E137" s="1" t="s">
        <v>218</v>
      </c>
      <c r="F137" s="1" t="s">
        <v>221</v>
      </c>
      <c r="G137">
        <v>0</v>
      </c>
    </row>
    <row r="138" spans="1:7" x14ac:dyDescent="0.25">
      <c r="A138" s="1" t="s">
        <v>260</v>
      </c>
      <c r="B138" s="1" t="s">
        <v>120</v>
      </c>
      <c r="C138" s="2">
        <v>45323</v>
      </c>
      <c r="D138">
        <v>123.63</v>
      </c>
      <c r="E138" s="1" t="s">
        <v>218</v>
      </c>
      <c r="F138" s="1" t="s">
        <v>225</v>
      </c>
      <c r="G138">
        <v>1</v>
      </c>
    </row>
    <row r="139" spans="1:7" x14ac:dyDescent="0.25">
      <c r="A139" s="1" t="s">
        <v>259</v>
      </c>
      <c r="B139" s="1" t="s">
        <v>120</v>
      </c>
      <c r="C139" s="2">
        <v>45352</v>
      </c>
      <c r="D139">
        <v>43.23</v>
      </c>
      <c r="E139" s="1" t="s">
        <v>218</v>
      </c>
      <c r="F139" s="1" t="s">
        <v>225</v>
      </c>
      <c r="G139">
        <v>0</v>
      </c>
    </row>
    <row r="140" spans="1:7" x14ac:dyDescent="0.25">
      <c r="A140" s="1" t="s">
        <v>258</v>
      </c>
      <c r="B140" s="1" t="s">
        <v>121</v>
      </c>
      <c r="C140" s="2">
        <v>45292</v>
      </c>
      <c r="D140">
        <v>8.0399999999999991</v>
      </c>
      <c r="E140" s="1" t="s">
        <v>223</v>
      </c>
      <c r="F140" s="1" t="s">
        <v>225</v>
      </c>
      <c r="G140">
        <v>0</v>
      </c>
    </row>
    <row r="141" spans="1:7" x14ac:dyDescent="0.25">
      <c r="A141" s="1" t="s">
        <v>257</v>
      </c>
      <c r="B141" s="1" t="s">
        <v>121</v>
      </c>
      <c r="C141" s="2">
        <v>45323</v>
      </c>
      <c r="D141">
        <v>74.88</v>
      </c>
      <c r="E141" s="1" t="s">
        <v>231</v>
      </c>
      <c r="F141" s="1" t="s">
        <v>221</v>
      </c>
      <c r="G141">
        <v>0</v>
      </c>
    </row>
    <row r="142" spans="1:7" x14ac:dyDescent="0.25">
      <c r="A142" s="1" t="s">
        <v>256</v>
      </c>
      <c r="B142" s="1" t="s">
        <v>121</v>
      </c>
      <c r="C142" s="2">
        <v>45352</v>
      </c>
      <c r="D142">
        <v>131.74</v>
      </c>
      <c r="E142" s="1" t="s">
        <v>218</v>
      </c>
      <c r="F142" s="1" t="s">
        <v>219</v>
      </c>
      <c r="G142">
        <v>0</v>
      </c>
    </row>
    <row r="143" spans="1:7" x14ac:dyDescent="0.25">
      <c r="A143" s="1" t="s">
        <v>255</v>
      </c>
      <c r="B143" s="1" t="s">
        <v>124</v>
      </c>
      <c r="C143" s="2">
        <v>45292</v>
      </c>
      <c r="D143">
        <v>141.01</v>
      </c>
      <c r="E143" s="1" t="s">
        <v>218</v>
      </c>
      <c r="F143" s="1" t="s">
        <v>233</v>
      </c>
      <c r="G143">
        <v>0</v>
      </c>
    </row>
    <row r="144" spans="1:7" x14ac:dyDescent="0.25">
      <c r="A144" s="1" t="s">
        <v>254</v>
      </c>
      <c r="B144" s="1" t="s">
        <v>124</v>
      </c>
      <c r="C144" s="2">
        <v>45323</v>
      </c>
      <c r="D144">
        <v>63.15</v>
      </c>
      <c r="E144" s="1" t="s">
        <v>218</v>
      </c>
      <c r="F144" s="1" t="s">
        <v>221</v>
      </c>
      <c r="G144">
        <v>0</v>
      </c>
    </row>
    <row r="145" spans="1:7" x14ac:dyDescent="0.25">
      <c r="A145" s="1" t="s">
        <v>253</v>
      </c>
      <c r="B145" s="1" t="s">
        <v>124</v>
      </c>
      <c r="C145" s="2">
        <v>45352</v>
      </c>
      <c r="D145">
        <v>76.62</v>
      </c>
      <c r="E145" s="1" t="s">
        <v>223</v>
      </c>
      <c r="F145" s="1" t="s">
        <v>225</v>
      </c>
      <c r="G145">
        <v>0</v>
      </c>
    </row>
    <row r="146" spans="1:7" x14ac:dyDescent="0.25">
      <c r="A146" s="1" t="s">
        <v>252</v>
      </c>
      <c r="B146" s="1" t="s">
        <v>126</v>
      </c>
      <c r="C146" s="2">
        <v>45292</v>
      </c>
      <c r="D146">
        <v>114.73</v>
      </c>
      <c r="E146" s="1" t="s">
        <v>218</v>
      </c>
      <c r="F146" s="1" t="s">
        <v>225</v>
      </c>
      <c r="G146">
        <v>1</v>
      </c>
    </row>
    <row r="147" spans="1:7" x14ac:dyDescent="0.25">
      <c r="A147" s="1" t="s">
        <v>251</v>
      </c>
      <c r="B147" s="1" t="s">
        <v>126</v>
      </c>
      <c r="C147" s="2">
        <v>45323</v>
      </c>
      <c r="D147">
        <v>95.53</v>
      </c>
      <c r="E147" s="1" t="s">
        <v>218</v>
      </c>
      <c r="F147" s="1" t="s">
        <v>221</v>
      </c>
      <c r="G147">
        <v>0</v>
      </c>
    </row>
    <row r="148" spans="1:7" x14ac:dyDescent="0.25">
      <c r="A148" s="1" t="s">
        <v>220</v>
      </c>
      <c r="B148" s="1" t="s">
        <v>126</v>
      </c>
      <c r="C148" s="2">
        <v>45352</v>
      </c>
      <c r="D148">
        <v>40.159999999999997</v>
      </c>
      <c r="E148" s="1" t="s">
        <v>218</v>
      </c>
      <c r="F148" s="1" t="s">
        <v>225</v>
      </c>
      <c r="G148">
        <v>0</v>
      </c>
    </row>
    <row r="149" spans="1:7" x14ac:dyDescent="0.25">
      <c r="A149" s="1" t="s">
        <v>250</v>
      </c>
      <c r="B149" s="1" t="s">
        <v>128</v>
      </c>
      <c r="C149" s="2">
        <v>45292</v>
      </c>
      <c r="D149">
        <v>92.05</v>
      </c>
      <c r="E149" s="1" t="s">
        <v>218</v>
      </c>
      <c r="F149" s="1" t="s">
        <v>233</v>
      </c>
      <c r="G149">
        <v>0</v>
      </c>
    </row>
    <row r="150" spans="1:7" x14ac:dyDescent="0.25">
      <c r="A150" s="1" t="s">
        <v>249</v>
      </c>
      <c r="B150" s="1" t="s">
        <v>128</v>
      </c>
      <c r="C150" s="2">
        <v>45323</v>
      </c>
      <c r="D150">
        <v>65.8</v>
      </c>
      <c r="E150" s="1" t="s">
        <v>218</v>
      </c>
      <c r="F150" s="1" t="s">
        <v>219</v>
      </c>
      <c r="G150">
        <v>0</v>
      </c>
    </row>
    <row r="151" spans="1:7" x14ac:dyDescent="0.25">
      <c r="A151" s="1" t="s">
        <v>248</v>
      </c>
      <c r="B151" s="1" t="s">
        <v>128</v>
      </c>
      <c r="C151" s="2">
        <v>45352</v>
      </c>
      <c r="D151">
        <v>75.48</v>
      </c>
      <c r="E151" s="1" t="s">
        <v>218</v>
      </c>
      <c r="F151" s="1" t="s">
        <v>219</v>
      </c>
      <c r="G151">
        <v>0</v>
      </c>
    </row>
    <row r="152" spans="1:7" x14ac:dyDescent="0.25">
      <c r="A152" s="1" t="s">
        <v>247</v>
      </c>
      <c r="B152" s="1" t="s">
        <v>129</v>
      </c>
      <c r="C152" s="2">
        <v>45292</v>
      </c>
      <c r="D152">
        <v>42.54</v>
      </c>
      <c r="E152" s="1" t="s">
        <v>218</v>
      </c>
      <c r="F152" s="1" t="s">
        <v>225</v>
      </c>
      <c r="G152">
        <v>0</v>
      </c>
    </row>
    <row r="153" spans="1:7" x14ac:dyDescent="0.25">
      <c r="A153" s="1" t="s">
        <v>246</v>
      </c>
      <c r="B153" s="1" t="s">
        <v>129</v>
      </c>
      <c r="C153" s="2">
        <v>45323</v>
      </c>
      <c r="D153">
        <v>16.48</v>
      </c>
      <c r="E153" s="1" t="s">
        <v>218</v>
      </c>
      <c r="F153" s="1" t="s">
        <v>221</v>
      </c>
      <c r="G153">
        <v>1</v>
      </c>
    </row>
    <row r="154" spans="1:7" x14ac:dyDescent="0.25">
      <c r="A154" s="1" t="s">
        <v>245</v>
      </c>
      <c r="B154" s="1" t="s">
        <v>129</v>
      </c>
      <c r="C154" s="2">
        <v>45352</v>
      </c>
      <c r="D154">
        <v>139.38</v>
      </c>
      <c r="E154" s="1" t="s">
        <v>223</v>
      </c>
      <c r="F154" s="1" t="s">
        <v>219</v>
      </c>
      <c r="G154">
        <v>2</v>
      </c>
    </row>
    <row r="155" spans="1:7" x14ac:dyDescent="0.25">
      <c r="A155" s="1" t="s">
        <v>244</v>
      </c>
      <c r="B155" s="1" t="s">
        <v>130</v>
      </c>
      <c r="C155" s="2">
        <v>45292</v>
      </c>
      <c r="D155">
        <v>89.59</v>
      </c>
      <c r="E155" s="1" t="s">
        <v>218</v>
      </c>
      <c r="F155" s="1" t="s">
        <v>221</v>
      </c>
      <c r="G155">
        <v>0</v>
      </c>
    </row>
    <row r="156" spans="1:7" x14ac:dyDescent="0.25">
      <c r="A156" s="1" t="s">
        <v>243</v>
      </c>
      <c r="B156" s="1" t="s">
        <v>130</v>
      </c>
      <c r="C156" s="2">
        <v>45323</v>
      </c>
      <c r="D156">
        <v>103.35</v>
      </c>
      <c r="E156" s="1" t="s">
        <v>218</v>
      </c>
      <c r="F156" s="1" t="s">
        <v>221</v>
      </c>
      <c r="G156">
        <v>0</v>
      </c>
    </row>
    <row r="157" spans="1:7" x14ac:dyDescent="0.25">
      <c r="A157" s="1" t="s">
        <v>242</v>
      </c>
      <c r="B157" s="1" t="s">
        <v>130</v>
      </c>
      <c r="C157" s="2">
        <v>45352</v>
      </c>
      <c r="D157">
        <v>93.44</v>
      </c>
      <c r="E157" s="1" t="s">
        <v>218</v>
      </c>
      <c r="F157" s="1" t="s">
        <v>221</v>
      </c>
      <c r="G157">
        <v>0</v>
      </c>
    </row>
    <row r="158" spans="1:7" x14ac:dyDescent="0.25">
      <c r="A158" s="1" t="s">
        <v>241</v>
      </c>
      <c r="B158" s="1" t="s">
        <v>131</v>
      </c>
      <c r="C158" s="2">
        <v>45292</v>
      </c>
      <c r="D158">
        <v>98.66</v>
      </c>
      <c r="E158" s="1" t="s">
        <v>218</v>
      </c>
      <c r="F158" s="1" t="s">
        <v>225</v>
      </c>
      <c r="G158">
        <v>1</v>
      </c>
    </row>
    <row r="159" spans="1:7" x14ac:dyDescent="0.25">
      <c r="A159" s="1" t="s">
        <v>240</v>
      </c>
      <c r="B159" s="1" t="s">
        <v>131</v>
      </c>
      <c r="C159" s="2">
        <v>45323</v>
      </c>
      <c r="D159">
        <v>33.56</v>
      </c>
      <c r="E159" s="1" t="s">
        <v>218</v>
      </c>
      <c r="F159" s="1" t="s">
        <v>233</v>
      </c>
      <c r="G159">
        <v>0</v>
      </c>
    </row>
    <row r="160" spans="1:7" x14ac:dyDescent="0.25">
      <c r="A160" s="1" t="s">
        <v>239</v>
      </c>
      <c r="B160" s="1" t="s">
        <v>131</v>
      </c>
      <c r="C160" s="2">
        <v>45352</v>
      </c>
      <c r="D160">
        <v>116.03</v>
      </c>
      <c r="E160" s="1" t="s">
        <v>218</v>
      </c>
      <c r="F160" s="1" t="s">
        <v>221</v>
      </c>
      <c r="G160">
        <v>1</v>
      </c>
    </row>
    <row r="161" spans="1:7" x14ac:dyDescent="0.25">
      <c r="A161" s="1" t="s">
        <v>238</v>
      </c>
      <c r="B161" s="1" t="s">
        <v>133</v>
      </c>
      <c r="C161" s="2">
        <v>45292</v>
      </c>
      <c r="D161">
        <v>146.43</v>
      </c>
      <c r="E161" s="1" t="s">
        <v>218</v>
      </c>
      <c r="F161" s="1" t="s">
        <v>219</v>
      </c>
      <c r="G161">
        <v>0</v>
      </c>
    </row>
    <row r="162" spans="1:7" x14ac:dyDescent="0.25">
      <c r="A162" s="1" t="s">
        <v>237</v>
      </c>
      <c r="B162" s="1" t="s">
        <v>133</v>
      </c>
      <c r="C162" s="2">
        <v>45323</v>
      </c>
      <c r="D162">
        <v>48.24</v>
      </c>
      <c r="E162" s="1" t="s">
        <v>231</v>
      </c>
      <c r="F162" s="1" t="s">
        <v>219</v>
      </c>
      <c r="G162">
        <v>0</v>
      </c>
    </row>
    <row r="163" spans="1:7" x14ac:dyDescent="0.25">
      <c r="A163" s="1" t="s">
        <v>236</v>
      </c>
      <c r="B163" s="1" t="s">
        <v>133</v>
      </c>
      <c r="C163" s="2">
        <v>45352</v>
      </c>
      <c r="D163">
        <v>94.22</v>
      </c>
      <c r="E163" s="1" t="s">
        <v>218</v>
      </c>
      <c r="F163" s="1" t="s">
        <v>233</v>
      </c>
      <c r="G163">
        <v>0</v>
      </c>
    </row>
    <row r="164" spans="1:7" x14ac:dyDescent="0.25">
      <c r="A164" s="1" t="s">
        <v>235</v>
      </c>
      <c r="B164" s="1" t="s">
        <v>137</v>
      </c>
      <c r="C164" s="2">
        <v>45292</v>
      </c>
      <c r="D164">
        <v>94.26</v>
      </c>
      <c r="E164" s="1" t="s">
        <v>218</v>
      </c>
      <c r="F164" s="1" t="s">
        <v>225</v>
      </c>
      <c r="G164">
        <v>1</v>
      </c>
    </row>
    <row r="165" spans="1:7" x14ac:dyDescent="0.25">
      <c r="A165" s="1" t="s">
        <v>234</v>
      </c>
      <c r="B165" s="1" t="s">
        <v>137</v>
      </c>
      <c r="C165" s="2">
        <v>45323</v>
      </c>
      <c r="D165">
        <v>90.25</v>
      </c>
      <c r="E165" s="1" t="s">
        <v>218</v>
      </c>
      <c r="F165" s="1" t="s">
        <v>233</v>
      </c>
      <c r="G165">
        <v>1</v>
      </c>
    </row>
    <row r="166" spans="1:7" x14ac:dyDescent="0.25">
      <c r="A166" s="1" t="s">
        <v>232</v>
      </c>
      <c r="B166" s="1" t="s">
        <v>137</v>
      </c>
      <c r="C166" s="2">
        <v>45352</v>
      </c>
      <c r="D166">
        <v>74.52</v>
      </c>
      <c r="E166" s="1" t="s">
        <v>223</v>
      </c>
      <c r="F166" s="1" t="s">
        <v>219</v>
      </c>
      <c r="G166">
        <v>0</v>
      </c>
    </row>
    <row r="167" spans="1:7" x14ac:dyDescent="0.25">
      <c r="A167" s="1" t="s">
        <v>230</v>
      </c>
      <c r="B167" s="1" t="s">
        <v>138</v>
      </c>
      <c r="C167" s="2">
        <v>45292</v>
      </c>
      <c r="D167">
        <v>10.23</v>
      </c>
      <c r="E167" s="1" t="s">
        <v>218</v>
      </c>
      <c r="F167" s="1" t="s">
        <v>221</v>
      </c>
      <c r="G167">
        <v>0</v>
      </c>
    </row>
    <row r="168" spans="1:7" x14ac:dyDescent="0.25">
      <c r="A168" s="1" t="s">
        <v>229</v>
      </c>
      <c r="B168" s="1" t="s">
        <v>138</v>
      </c>
      <c r="C168" s="2">
        <v>45323</v>
      </c>
      <c r="D168">
        <v>53.8</v>
      </c>
      <c r="E168" s="1" t="s">
        <v>218</v>
      </c>
      <c r="F168" s="1" t="s">
        <v>219</v>
      </c>
      <c r="G168">
        <v>1</v>
      </c>
    </row>
    <row r="169" spans="1:7" x14ac:dyDescent="0.25">
      <c r="A169" s="1" t="s">
        <v>228</v>
      </c>
      <c r="B169" s="1" t="s">
        <v>138</v>
      </c>
      <c r="C169" s="2">
        <v>45352</v>
      </c>
      <c r="D169">
        <v>31.28</v>
      </c>
      <c r="E169" s="1" t="s">
        <v>223</v>
      </c>
      <c r="F169" s="1" t="s">
        <v>219</v>
      </c>
      <c r="G169">
        <v>1</v>
      </c>
    </row>
    <row r="170" spans="1:7" x14ac:dyDescent="0.25">
      <c r="A170" s="1" t="s">
        <v>227</v>
      </c>
      <c r="B170" s="1" t="s">
        <v>139</v>
      </c>
      <c r="C170" s="2">
        <v>45292</v>
      </c>
      <c r="D170">
        <v>31.62</v>
      </c>
      <c r="E170" s="1" t="s">
        <v>223</v>
      </c>
      <c r="F170" s="1" t="s">
        <v>225</v>
      </c>
      <c r="G170">
        <v>0</v>
      </c>
    </row>
    <row r="171" spans="1:7" x14ac:dyDescent="0.25">
      <c r="A171" s="1" t="s">
        <v>226</v>
      </c>
      <c r="B171" s="1" t="s">
        <v>139</v>
      </c>
      <c r="C171" s="2">
        <v>45323</v>
      </c>
      <c r="D171">
        <v>11.35</v>
      </c>
      <c r="E171" s="1" t="s">
        <v>223</v>
      </c>
      <c r="F171" s="1" t="s">
        <v>233</v>
      </c>
      <c r="G171">
        <v>0</v>
      </c>
    </row>
    <row r="172" spans="1:7" x14ac:dyDescent="0.25">
      <c r="A172" s="1" t="s">
        <v>224</v>
      </c>
      <c r="B172" s="1" t="s">
        <v>139</v>
      </c>
      <c r="C172" s="2">
        <v>45352</v>
      </c>
      <c r="D172">
        <v>44.59</v>
      </c>
      <c r="E172" s="1" t="s">
        <v>231</v>
      </c>
      <c r="F172" s="1" t="s">
        <v>221</v>
      </c>
      <c r="G172">
        <v>0</v>
      </c>
    </row>
    <row r="173" spans="1:7" x14ac:dyDescent="0.25">
      <c r="A173" s="1" t="s">
        <v>222</v>
      </c>
      <c r="B173" s="1" t="s">
        <v>140</v>
      </c>
      <c r="C173" s="2">
        <v>45292</v>
      </c>
      <c r="D173">
        <v>15.71</v>
      </c>
      <c r="E173" s="1" t="s">
        <v>218</v>
      </c>
      <c r="F173" s="1" t="s">
        <v>225</v>
      </c>
      <c r="G173">
        <v>0</v>
      </c>
    </row>
    <row r="174" spans="1:7" x14ac:dyDescent="0.25">
      <c r="A174" s="1" t="s">
        <v>217</v>
      </c>
      <c r="B174" s="1" t="s">
        <v>140</v>
      </c>
      <c r="C174" s="2">
        <v>45323</v>
      </c>
      <c r="D174">
        <v>44.75</v>
      </c>
      <c r="E174" s="1" t="s">
        <v>218</v>
      </c>
      <c r="F174" s="1" t="s">
        <v>225</v>
      </c>
      <c r="G174">
        <v>0</v>
      </c>
    </row>
    <row r="175" spans="1:7" x14ac:dyDescent="0.25">
      <c r="A175" s="1" t="s">
        <v>277</v>
      </c>
      <c r="B175" s="1" t="s">
        <v>140</v>
      </c>
      <c r="C175" s="2">
        <v>45352</v>
      </c>
      <c r="D175">
        <v>38.200000000000003</v>
      </c>
      <c r="E175" s="1" t="s">
        <v>218</v>
      </c>
      <c r="F175" s="1" t="s">
        <v>221</v>
      </c>
      <c r="G175">
        <v>1</v>
      </c>
    </row>
    <row r="176" spans="1:7" x14ac:dyDescent="0.25">
      <c r="A176" s="1" t="s">
        <v>278</v>
      </c>
      <c r="B176" s="1" t="s">
        <v>141</v>
      </c>
      <c r="C176" s="2">
        <v>45292</v>
      </c>
      <c r="D176">
        <v>36.56</v>
      </c>
      <c r="E176" s="1" t="s">
        <v>218</v>
      </c>
      <c r="F176" s="1" t="s">
        <v>225</v>
      </c>
      <c r="G176">
        <v>0</v>
      </c>
    </row>
    <row r="177" spans="1:7" x14ac:dyDescent="0.25">
      <c r="A177" s="1" t="s">
        <v>279</v>
      </c>
      <c r="B177" s="1" t="s">
        <v>141</v>
      </c>
      <c r="C177" s="2">
        <v>45323</v>
      </c>
      <c r="D177">
        <v>41.97</v>
      </c>
      <c r="E177" s="1" t="s">
        <v>218</v>
      </c>
      <c r="F177" s="1" t="s">
        <v>225</v>
      </c>
      <c r="G177">
        <v>1</v>
      </c>
    </row>
    <row r="178" spans="1:7" x14ac:dyDescent="0.25">
      <c r="A178" s="1" t="s">
        <v>280</v>
      </c>
      <c r="B178" s="1" t="s">
        <v>141</v>
      </c>
      <c r="C178" s="2">
        <v>45352</v>
      </c>
      <c r="D178">
        <v>77.78</v>
      </c>
      <c r="E178" s="1" t="s">
        <v>223</v>
      </c>
      <c r="F178" s="1" t="s">
        <v>219</v>
      </c>
      <c r="G178">
        <v>0</v>
      </c>
    </row>
    <row r="179" spans="1:7" x14ac:dyDescent="0.25">
      <c r="A179" s="1" t="s">
        <v>281</v>
      </c>
      <c r="B179" s="1" t="s">
        <v>143</v>
      </c>
      <c r="C179" s="2">
        <v>45292</v>
      </c>
      <c r="D179">
        <v>23.3</v>
      </c>
      <c r="E179" s="1" t="s">
        <v>218</v>
      </c>
      <c r="F179" s="1" t="s">
        <v>221</v>
      </c>
      <c r="G179">
        <v>0</v>
      </c>
    </row>
    <row r="180" spans="1:7" x14ac:dyDescent="0.25">
      <c r="A180" s="1" t="s">
        <v>282</v>
      </c>
      <c r="B180" s="1" t="s">
        <v>143</v>
      </c>
      <c r="C180" s="2">
        <v>45323</v>
      </c>
      <c r="D180">
        <v>52.34</v>
      </c>
      <c r="E180" s="1" t="s">
        <v>218</v>
      </c>
      <c r="F180" s="1" t="s">
        <v>219</v>
      </c>
      <c r="G180">
        <v>0</v>
      </c>
    </row>
    <row r="181" spans="1:7" x14ac:dyDescent="0.25">
      <c r="A181" s="1" t="s">
        <v>283</v>
      </c>
      <c r="B181" s="1" t="s">
        <v>143</v>
      </c>
      <c r="C181" s="2">
        <v>45352</v>
      </c>
      <c r="D181">
        <v>118.89</v>
      </c>
      <c r="E181" s="1" t="s">
        <v>218</v>
      </c>
      <c r="F181" s="1" t="s">
        <v>221</v>
      </c>
      <c r="G181">
        <v>1</v>
      </c>
    </row>
    <row r="182" spans="1:7" x14ac:dyDescent="0.25">
      <c r="A182" s="1" t="s">
        <v>284</v>
      </c>
      <c r="B182" s="1" t="s">
        <v>145</v>
      </c>
      <c r="C182" s="2">
        <v>45292</v>
      </c>
      <c r="D182">
        <v>107.56</v>
      </c>
      <c r="E182" s="1" t="s">
        <v>218</v>
      </c>
      <c r="F182" s="1" t="s">
        <v>225</v>
      </c>
      <c r="G182">
        <v>0</v>
      </c>
    </row>
    <row r="183" spans="1:7" x14ac:dyDescent="0.25">
      <c r="A183" s="1" t="s">
        <v>285</v>
      </c>
      <c r="B183" s="1" t="s">
        <v>145</v>
      </c>
      <c r="C183" s="2">
        <v>45323</v>
      </c>
      <c r="D183">
        <v>128.74</v>
      </c>
      <c r="E183" s="1" t="s">
        <v>218</v>
      </c>
      <c r="F183" s="1" t="s">
        <v>225</v>
      </c>
      <c r="G183">
        <v>0</v>
      </c>
    </row>
    <row r="184" spans="1:7" x14ac:dyDescent="0.25">
      <c r="A184" s="1" t="s">
        <v>286</v>
      </c>
      <c r="B184" s="1" t="s">
        <v>145</v>
      </c>
      <c r="C184" s="2">
        <v>45352</v>
      </c>
      <c r="D184">
        <v>31.57</v>
      </c>
      <c r="E184" s="1" t="s">
        <v>218</v>
      </c>
      <c r="F184" s="1" t="s">
        <v>225</v>
      </c>
      <c r="G184">
        <v>0</v>
      </c>
    </row>
    <row r="185" spans="1:7" x14ac:dyDescent="0.25">
      <c r="A185" s="1" t="s">
        <v>287</v>
      </c>
      <c r="B185" s="1" t="s">
        <v>146</v>
      </c>
      <c r="C185" s="2">
        <v>45292</v>
      </c>
      <c r="D185">
        <v>65.34</v>
      </c>
      <c r="E185" s="1" t="s">
        <v>218</v>
      </c>
      <c r="F185" s="1" t="s">
        <v>225</v>
      </c>
      <c r="G185">
        <v>1</v>
      </c>
    </row>
    <row r="186" spans="1:7" x14ac:dyDescent="0.25">
      <c r="A186" s="1" t="s">
        <v>288</v>
      </c>
      <c r="B186" s="1" t="s">
        <v>146</v>
      </c>
      <c r="C186" s="2">
        <v>45323</v>
      </c>
      <c r="D186">
        <v>71.05</v>
      </c>
      <c r="E186" s="1" t="s">
        <v>218</v>
      </c>
      <c r="F186" s="1" t="s">
        <v>225</v>
      </c>
      <c r="G186">
        <v>0</v>
      </c>
    </row>
    <row r="187" spans="1:7" x14ac:dyDescent="0.25">
      <c r="A187" s="1" t="s">
        <v>289</v>
      </c>
      <c r="B187" s="1" t="s">
        <v>146</v>
      </c>
      <c r="C187" s="2">
        <v>45352</v>
      </c>
      <c r="D187">
        <v>19.34</v>
      </c>
      <c r="E187" s="1" t="s">
        <v>231</v>
      </c>
      <c r="F187" s="1" t="s">
        <v>225</v>
      </c>
      <c r="G187">
        <v>1</v>
      </c>
    </row>
    <row r="188" spans="1:7" x14ac:dyDescent="0.25">
      <c r="A188" s="1" t="s">
        <v>290</v>
      </c>
      <c r="B188" s="1" t="s">
        <v>147</v>
      </c>
      <c r="C188" s="2">
        <v>45292</v>
      </c>
      <c r="D188">
        <v>15.35</v>
      </c>
      <c r="E188" s="1" t="s">
        <v>218</v>
      </c>
      <c r="F188" s="1" t="s">
        <v>219</v>
      </c>
      <c r="G188">
        <v>0</v>
      </c>
    </row>
    <row r="189" spans="1:7" x14ac:dyDescent="0.25">
      <c r="A189" s="1" t="s">
        <v>291</v>
      </c>
      <c r="B189" s="1" t="s">
        <v>147</v>
      </c>
      <c r="C189" s="2">
        <v>45323</v>
      </c>
      <c r="D189">
        <v>15.68</v>
      </c>
      <c r="E189" s="1" t="s">
        <v>223</v>
      </c>
      <c r="F189" s="1" t="s">
        <v>219</v>
      </c>
      <c r="G189">
        <v>0</v>
      </c>
    </row>
    <row r="190" spans="1:7" x14ac:dyDescent="0.25">
      <c r="A190" s="1" t="s">
        <v>292</v>
      </c>
      <c r="B190" s="1" t="s">
        <v>147</v>
      </c>
      <c r="C190" s="2">
        <v>45352</v>
      </c>
      <c r="D190">
        <v>10.36</v>
      </c>
      <c r="E190" s="1" t="s">
        <v>223</v>
      </c>
      <c r="F190" s="1" t="s">
        <v>225</v>
      </c>
      <c r="G190">
        <v>0</v>
      </c>
    </row>
    <row r="191" spans="1:7" x14ac:dyDescent="0.25">
      <c r="A191" s="1" t="s">
        <v>293</v>
      </c>
      <c r="B191" s="1" t="s">
        <v>148</v>
      </c>
      <c r="C191" s="2">
        <v>45292</v>
      </c>
      <c r="D191">
        <v>80.819999999999993</v>
      </c>
      <c r="E191" s="1" t="s">
        <v>218</v>
      </c>
      <c r="F191" s="1" t="s">
        <v>221</v>
      </c>
      <c r="G191">
        <v>0</v>
      </c>
    </row>
    <row r="192" spans="1:7" x14ac:dyDescent="0.25">
      <c r="A192" s="1" t="s">
        <v>294</v>
      </c>
      <c r="B192" s="1" t="s">
        <v>148</v>
      </c>
      <c r="C192" s="2">
        <v>45323</v>
      </c>
      <c r="D192">
        <v>123.63</v>
      </c>
      <c r="E192" s="1" t="s">
        <v>218</v>
      </c>
      <c r="F192" s="1" t="s">
        <v>225</v>
      </c>
      <c r="G192">
        <v>1</v>
      </c>
    </row>
    <row r="193" spans="1:7" x14ac:dyDescent="0.25">
      <c r="A193" s="1" t="s">
        <v>295</v>
      </c>
      <c r="B193" s="1" t="s">
        <v>148</v>
      </c>
      <c r="C193" s="2">
        <v>45352</v>
      </c>
      <c r="D193">
        <v>43.23</v>
      </c>
      <c r="E193" s="1" t="s">
        <v>218</v>
      </c>
      <c r="F193" s="1" t="s">
        <v>225</v>
      </c>
      <c r="G193">
        <v>0</v>
      </c>
    </row>
    <row r="194" spans="1:7" x14ac:dyDescent="0.25">
      <c r="A194" s="1" t="s">
        <v>296</v>
      </c>
      <c r="B194" s="1" t="s">
        <v>149</v>
      </c>
      <c r="C194" s="2">
        <v>45292</v>
      </c>
      <c r="D194">
        <v>8.0399999999999991</v>
      </c>
      <c r="E194" s="1" t="s">
        <v>223</v>
      </c>
      <c r="F194" s="1" t="s">
        <v>225</v>
      </c>
      <c r="G194">
        <v>0</v>
      </c>
    </row>
    <row r="195" spans="1:7" x14ac:dyDescent="0.25">
      <c r="A195" s="1" t="s">
        <v>297</v>
      </c>
      <c r="B195" s="1" t="s">
        <v>149</v>
      </c>
      <c r="C195" s="2">
        <v>45323</v>
      </c>
      <c r="D195">
        <v>74.88</v>
      </c>
      <c r="E195" s="1" t="s">
        <v>231</v>
      </c>
      <c r="F195" s="1" t="s">
        <v>221</v>
      </c>
      <c r="G195">
        <v>0</v>
      </c>
    </row>
    <row r="196" spans="1:7" x14ac:dyDescent="0.25">
      <c r="A196" s="1" t="s">
        <v>298</v>
      </c>
      <c r="B196" s="1" t="s">
        <v>149</v>
      </c>
      <c r="C196" s="2">
        <v>45352</v>
      </c>
      <c r="D196">
        <v>131.74</v>
      </c>
      <c r="E196" s="1" t="s">
        <v>218</v>
      </c>
      <c r="F196" s="1" t="s">
        <v>219</v>
      </c>
      <c r="G196">
        <v>0</v>
      </c>
    </row>
    <row r="197" spans="1:7" x14ac:dyDescent="0.25">
      <c r="A197" s="1" t="s">
        <v>299</v>
      </c>
      <c r="B197" s="1" t="s">
        <v>150</v>
      </c>
      <c r="C197" s="2">
        <v>45292</v>
      </c>
      <c r="D197">
        <v>141.01</v>
      </c>
      <c r="E197" s="1" t="s">
        <v>218</v>
      </c>
      <c r="F197" s="1" t="s">
        <v>233</v>
      </c>
      <c r="G197">
        <v>0</v>
      </c>
    </row>
    <row r="198" spans="1:7" x14ac:dyDescent="0.25">
      <c r="A198" s="1" t="s">
        <v>300</v>
      </c>
      <c r="B198" s="1" t="s">
        <v>150</v>
      </c>
      <c r="C198" s="2">
        <v>45323</v>
      </c>
      <c r="D198">
        <v>63.15</v>
      </c>
      <c r="E198" s="1" t="s">
        <v>218</v>
      </c>
      <c r="F198" s="1" t="s">
        <v>221</v>
      </c>
      <c r="G198">
        <v>0</v>
      </c>
    </row>
    <row r="199" spans="1:7" x14ac:dyDescent="0.25">
      <c r="A199" s="1" t="s">
        <v>301</v>
      </c>
      <c r="B199" s="1" t="s">
        <v>150</v>
      </c>
      <c r="C199" s="2">
        <v>45352</v>
      </c>
      <c r="D199">
        <v>76.62</v>
      </c>
      <c r="E199" s="1" t="s">
        <v>223</v>
      </c>
      <c r="F199" s="1" t="s">
        <v>225</v>
      </c>
      <c r="G199">
        <v>0</v>
      </c>
    </row>
    <row r="200" spans="1:7" x14ac:dyDescent="0.25">
      <c r="A200" s="1" t="s">
        <v>302</v>
      </c>
      <c r="B200" s="1" t="s">
        <v>151</v>
      </c>
      <c r="C200" s="2">
        <v>45292</v>
      </c>
      <c r="D200">
        <v>114.73</v>
      </c>
      <c r="E200" s="1" t="s">
        <v>218</v>
      </c>
      <c r="F200" s="1" t="s">
        <v>225</v>
      </c>
      <c r="G200">
        <v>1</v>
      </c>
    </row>
    <row r="201" spans="1:7" x14ac:dyDescent="0.25">
      <c r="A201" s="1" t="s">
        <v>303</v>
      </c>
      <c r="B201" s="1" t="s">
        <v>151</v>
      </c>
      <c r="C201" s="2">
        <v>45323</v>
      </c>
      <c r="D201">
        <v>95.53</v>
      </c>
      <c r="E201" s="1" t="s">
        <v>218</v>
      </c>
      <c r="F201" s="1" t="s">
        <v>221</v>
      </c>
      <c r="G201">
        <v>0</v>
      </c>
    </row>
    <row r="202" spans="1:7" x14ac:dyDescent="0.25">
      <c r="A202" s="1" t="s">
        <v>304</v>
      </c>
      <c r="B202" s="1" t="s">
        <v>151</v>
      </c>
      <c r="C202" s="2">
        <v>45352</v>
      </c>
      <c r="D202">
        <v>40.159999999999997</v>
      </c>
      <c r="E202" s="1" t="s">
        <v>218</v>
      </c>
      <c r="F202" s="1" t="s">
        <v>225</v>
      </c>
      <c r="G202">
        <v>0</v>
      </c>
    </row>
    <row r="203" spans="1:7" x14ac:dyDescent="0.25">
      <c r="A203" s="1" t="s">
        <v>305</v>
      </c>
      <c r="B203" s="1" t="s">
        <v>152</v>
      </c>
      <c r="C203" s="2">
        <v>45292</v>
      </c>
      <c r="D203">
        <v>92.05</v>
      </c>
      <c r="E203" s="1" t="s">
        <v>218</v>
      </c>
      <c r="F203" s="1" t="s">
        <v>233</v>
      </c>
      <c r="G203">
        <v>0</v>
      </c>
    </row>
    <row r="204" spans="1:7" x14ac:dyDescent="0.25">
      <c r="A204" s="1" t="s">
        <v>306</v>
      </c>
      <c r="B204" s="1" t="s">
        <v>152</v>
      </c>
      <c r="C204" s="2">
        <v>45323</v>
      </c>
      <c r="D204">
        <v>65.8</v>
      </c>
      <c r="E204" s="1" t="s">
        <v>218</v>
      </c>
      <c r="F204" s="1" t="s">
        <v>219</v>
      </c>
      <c r="G204">
        <v>0</v>
      </c>
    </row>
    <row r="205" spans="1:7" x14ac:dyDescent="0.25">
      <c r="A205" s="1" t="s">
        <v>307</v>
      </c>
      <c r="B205" s="1" t="s">
        <v>152</v>
      </c>
      <c r="C205" s="2">
        <v>45352</v>
      </c>
      <c r="D205">
        <v>75.48</v>
      </c>
      <c r="E205" s="1" t="s">
        <v>218</v>
      </c>
      <c r="F205" s="1" t="s">
        <v>219</v>
      </c>
      <c r="G205">
        <v>0</v>
      </c>
    </row>
    <row r="206" spans="1:7" x14ac:dyDescent="0.25">
      <c r="A206" s="1" t="s">
        <v>308</v>
      </c>
      <c r="B206" s="1" t="s">
        <v>154</v>
      </c>
      <c r="C206" s="2">
        <v>45292</v>
      </c>
      <c r="D206">
        <v>42.54</v>
      </c>
      <c r="E206" s="1" t="s">
        <v>218</v>
      </c>
      <c r="F206" s="1" t="s">
        <v>225</v>
      </c>
      <c r="G206">
        <v>0</v>
      </c>
    </row>
    <row r="207" spans="1:7" x14ac:dyDescent="0.25">
      <c r="A207" s="1" t="s">
        <v>309</v>
      </c>
      <c r="B207" s="1" t="s">
        <v>154</v>
      </c>
      <c r="C207" s="2">
        <v>45323</v>
      </c>
      <c r="D207">
        <v>16.48</v>
      </c>
      <c r="E207" s="1" t="s">
        <v>218</v>
      </c>
      <c r="F207" s="1" t="s">
        <v>221</v>
      </c>
      <c r="G207">
        <v>1</v>
      </c>
    </row>
    <row r="208" spans="1:7" x14ac:dyDescent="0.25">
      <c r="A208" s="1" t="s">
        <v>310</v>
      </c>
      <c r="B208" s="1" t="s">
        <v>154</v>
      </c>
      <c r="C208" s="2">
        <v>45352</v>
      </c>
      <c r="D208">
        <v>139.38</v>
      </c>
      <c r="E208" s="1" t="s">
        <v>223</v>
      </c>
      <c r="F208" s="1" t="s">
        <v>219</v>
      </c>
      <c r="G208">
        <v>2</v>
      </c>
    </row>
    <row r="209" spans="1:7" x14ac:dyDescent="0.25">
      <c r="A209" s="1" t="s">
        <v>311</v>
      </c>
      <c r="B209" s="1" t="s">
        <v>155</v>
      </c>
      <c r="C209" s="2">
        <v>45292</v>
      </c>
      <c r="D209">
        <v>89.59</v>
      </c>
      <c r="E209" s="1" t="s">
        <v>218</v>
      </c>
      <c r="F209" s="1" t="s">
        <v>221</v>
      </c>
      <c r="G209">
        <v>0</v>
      </c>
    </row>
    <row r="210" spans="1:7" x14ac:dyDescent="0.25">
      <c r="A210" s="1" t="s">
        <v>312</v>
      </c>
      <c r="B210" s="1" t="s">
        <v>155</v>
      </c>
      <c r="C210" s="2">
        <v>45323</v>
      </c>
      <c r="D210">
        <v>103.35</v>
      </c>
      <c r="E210" s="1" t="s">
        <v>218</v>
      </c>
      <c r="F210" s="1" t="s">
        <v>221</v>
      </c>
      <c r="G210">
        <v>0</v>
      </c>
    </row>
    <row r="211" spans="1:7" x14ac:dyDescent="0.25">
      <c r="A211" s="1" t="s">
        <v>313</v>
      </c>
      <c r="B211" s="1" t="s">
        <v>155</v>
      </c>
      <c r="C211" s="2">
        <v>45352</v>
      </c>
      <c r="D211">
        <v>93.44</v>
      </c>
      <c r="E211" s="1" t="s">
        <v>218</v>
      </c>
      <c r="F211" s="1" t="s">
        <v>221</v>
      </c>
      <c r="G211">
        <v>0</v>
      </c>
    </row>
    <row r="212" spans="1:7" x14ac:dyDescent="0.25">
      <c r="A212" s="1" t="s">
        <v>314</v>
      </c>
      <c r="B212" s="1" t="s">
        <v>156</v>
      </c>
      <c r="C212" s="2">
        <v>45292</v>
      </c>
      <c r="D212">
        <v>98.66</v>
      </c>
      <c r="E212" s="1" t="s">
        <v>218</v>
      </c>
      <c r="F212" s="1" t="s">
        <v>225</v>
      </c>
      <c r="G212">
        <v>1</v>
      </c>
    </row>
    <row r="213" spans="1:7" x14ac:dyDescent="0.25">
      <c r="A213" s="1" t="s">
        <v>315</v>
      </c>
      <c r="B213" s="1" t="s">
        <v>156</v>
      </c>
      <c r="C213" s="2">
        <v>45323</v>
      </c>
      <c r="D213">
        <v>33.56</v>
      </c>
      <c r="E213" s="1" t="s">
        <v>218</v>
      </c>
      <c r="F213" s="1" t="s">
        <v>233</v>
      </c>
      <c r="G213">
        <v>0</v>
      </c>
    </row>
    <row r="214" spans="1:7" x14ac:dyDescent="0.25">
      <c r="A214" s="1" t="s">
        <v>316</v>
      </c>
      <c r="B214" s="1" t="s">
        <v>156</v>
      </c>
      <c r="C214" s="2">
        <v>45352</v>
      </c>
      <c r="D214">
        <v>116.03</v>
      </c>
      <c r="E214" s="1" t="s">
        <v>218</v>
      </c>
      <c r="F214" s="1" t="s">
        <v>221</v>
      </c>
      <c r="G214">
        <v>1</v>
      </c>
    </row>
    <row r="215" spans="1:7" x14ac:dyDescent="0.25">
      <c r="A215" s="1" t="s">
        <v>317</v>
      </c>
      <c r="B215" s="1" t="s">
        <v>157</v>
      </c>
      <c r="C215" s="2">
        <v>45292</v>
      </c>
      <c r="D215">
        <v>146.43</v>
      </c>
      <c r="E215" s="1" t="s">
        <v>218</v>
      </c>
      <c r="F215" s="1" t="s">
        <v>219</v>
      </c>
      <c r="G215">
        <v>0</v>
      </c>
    </row>
    <row r="216" spans="1:7" x14ac:dyDescent="0.25">
      <c r="A216" s="1" t="s">
        <v>234</v>
      </c>
      <c r="B216" s="1" t="s">
        <v>157</v>
      </c>
      <c r="C216" s="2">
        <v>45323</v>
      </c>
      <c r="D216">
        <v>48.24</v>
      </c>
      <c r="E216" s="1" t="s">
        <v>231</v>
      </c>
      <c r="F216" s="1" t="s">
        <v>219</v>
      </c>
      <c r="G216">
        <v>0</v>
      </c>
    </row>
    <row r="217" spans="1:7" x14ac:dyDescent="0.25">
      <c r="A217" s="1" t="s">
        <v>254</v>
      </c>
      <c r="B217" s="1" t="s">
        <v>157</v>
      </c>
      <c r="C217" s="2">
        <v>45352</v>
      </c>
      <c r="D217">
        <v>94.22</v>
      </c>
      <c r="E217" s="1" t="s">
        <v>218</v>
      </c>
      <c r="F217" s="1" t="s">
        <v>233</v>
      </c>
      <c r="G217">
        <v>0</v>
      </c>
    </row>
    <row r="218" spans="1:7" x14ac:dyDescent="0.25">
      <c r="A218" s="1" t="s">
        <v>278</v>
      </c>
      <c r="B218" s="1" t="s">
        <v>159</v>
      </c>
      <c r="C218" s="2">
        <v>45292</v>
      </c>
      <c r="D218">
        <v>94.26</v>
      </c>
      <c r="E218" s="1" t="s">
        <v>218</v>
      </c>
      <c r="F218" s="1" t="s">
        <v>225</v>
      </c>
      <c r="G218">
        <v>1</v>
      </c>
    </row>
    <row r="219" spans="1:7" x14ac:dyDescent="0.25">
      <c r="A219" s="1" t="s">
        <v>302</v>
      </c>
      <c r="B219" s="1" t="s">
        <v>159</v>
      </c>
      <c r="C219" s="2">
        <v>45323</v>
      </c>
      <c r="D219">
        <v>90.25</v>
      </c>
      <c r="E219" s="1" t="s">
        <v>218</v>
      </c>
      <c r="F219" s="1" t="s">
        <v>233</v>
      </c>
      <c r="G219">
        <v>1</v>
      </c>
    </row>
    <row r="220" spans="1:7" x14ac:dyDescent="0.25">
      <c r="A220" s="1" t="s">
        <v>275</v>
      </c>
      <c r="B220" s="1" t="s">
        <v>159</v>
      </c>
      <c r="C220" s="2">
        <v>45352</v>
      </c>
      <c r="D220">
        <v>74.52</v>
      </c>
      <c r="E220" s="1" t="s">
        <v>223</v>
      </c>
      <c r="F220" s="1" t="s">
        <v>219</v>
      </c>
      <c r="G220">
        <v>0</v>
      </c>
    </row>
    <row r="221" spans="1:7" x14ac:dyDescent="0.25">
      <c r="A221" s="1" t="s">
        <v>251</v>
      </c>
      <c r="B221" s="1" t="s">
        <v>160</v>
      </c>
      <c r="C221" s="2">
        <v>45292</v>
      </c>
      <c r="D221">
        <v>10.23</v>
      </c>
      <c r="E221" s="1" t="s">
        <v>218</v>
      </c>
      <c r="F221" s="1" t="s">
        <v>221</v>
      </c>
      <c r="G221">
        <v>0</v>
      </c>
    </row>
    <row r="222" spans="1:7" x14ac:dyDescent="0.25">
      <c r="A222" s="1" t="s">
        <v>248</v>
      </c>
      <c r="B222" s="1" t="s">
        <v>160</v>
      </c>
      <c r="C222" s="2">
        <v>45323</v>
      </c>
      <c r="D222">
        <v>53.8</v>
      </c>
      <c r="E222" s="1" t="s">
        <v>218</v>
      </c>
      <c r="F222" s="1" t="s">
        <v>219</v>
      </c>
      <c r="G222">
        <v>1</v>
      </c>
    </row>
    <row r="223" spans="1:7" x14ac:dyDescent="0.25">
      <c r="A223" s="1" t="s">
        <v>244</v>
      </c>
      <c r="B223" s="1" t="s">
        <v>160</v>
      </c>
      <c r="C223" s="2">
        <v>45352</v>
      </c>
      <c r="D223">
        <v>31.28</v>
      </c>
      <c r="E223" s="1" t="s">
        <v>223</v>
      </c>
      <c r="F223" s="1" t="s">
        <v>219</v>
      </c>
      <c r="G223">
        <v>1</v>
      </c>
    </row>
    <row r="224" spans="1:7" x14ac:dyDescent="0.25">
      <c r="A224" s="1" t="s">
        <v>247</v>
      </c>
      <c r="B224" s="1" t="s">
        <v>161</v>
      </c>
      <c r="C224" s="2">
        <v>45292</v>
      </c>
      <c r="D224">
        <v>31.62</v>
      </c>
      <c r="E224" s="1" t="s">
        <v>223</v>
      </c>
      <c r="F224" s="1" t="s">
        <v>225</v>
      </c>
      <c r="G224">
        <v>0</v>
      </c>
    </row>
    <row r="225" spans="1:7" x14ac:dyDescent="0.25">
      <c r="A225" s="1" t="s">
        <v>243</v>
      </c>
      <c r="B225" s="1" t="s">
        <v>161</v>
      </c>
      <c r="C225" s="2">
        <v>45323</v>
      </c>
      <c r="D225">
        <v>11.35</v>
      </c>
      <c r="E225" s="1" t="s">
        <v>223</v>
      </c>
      <c r="F225" s="1" t="s">
        <v>233</v>
      </c>
      <c r="G225">
        <v>0</v>
      </c>
    </row>
    <row r="226" spans="1:7" x14ac:dyDescent="0.25">
      <c r="A226" s="1" t="s">
        <v>242</v>
      </c>
      <c r="B226" s="1" t="s">
        <v>161</v>
      </c>
      <c r="C226" s="2">
        <v>45352</v>
      </c>
      <c r="D226">
        <v>44.59</v>
      </c>
      <c r="E226" s="1" t="s">
        <v>231</v>
      </c>
      <c r="F226" s="1" t="s">
        <v>221</v>
      </c>
      <c r="G226">
        <v>0</v>
      </c>
    </row>
    <row r="227" spans="1:7" x14ac:dyDescent="0.25">
      <c r="A227" s="1" t="s">
        <v>235</v>
      </c>
      <c r="B227" s="1" t="s">
        <v>162</v>
      </c>
      <c r="C227" s="2">
        <v>45292</v>
      </c>
      <c r="D227">
        <v>15.71</v>
      </c>
      <c r="E227" s="1" t="s">
        <v>218</v>
      </c>
      <c r="F227" s="1" t="s">
        <v>225</v>
      </c>
      <c r="G227">
        <v>0</v>
      </c>
    </row>
    <row r="228" spans="1:7" x14ac:dyDescent="0.25">
      <c r="A228" s="1" t="s">
        <v>234</v>
      </c>
      <c r="B228" s="1" t="s">
        <v>162</v>
      </c>
      <c r="C228" s="2">
        <v>45323</v>
      </c>
      <c r="D228">
        <v>44.75</v>
      </c>
      <c r="E228" s="1" t="s">
        <v>218</v>
      </c>
      <c r="F228" s="1" t="s">
        <v>225</v>
      </c>
      <c r="G228">
        <v>0</v>
      </c>
    </row>
    <row r="229" spans="1:7" x14ac:dyDescent="0.25">
      <c r="A229" s="1" t="s">
        <v>232</v>
      </c>
      <c r="B229" s="1" t="s">
        <v>162</v>
      </c>
      <c r="C229" s="2">
        <v>45352</v>
      </c>
      <c r="D229">
        <v>38.200000000000003</v>
      </c>
      <c r="E229" s="1" t="s">
        <v>218</v>
      </c>
      <c r="F229" s="1" t="s">
        <v>221</v>
      </c>
      <c r="G229">
        <v>1</v>
      </c>
    </row>
    <row r="230" spans="1:7" x14ac:dyDescent="0.25">
      <c r="A230" s="1" t="s">
        <v>230</v>
      </c>
      <c r="B230" s="1" t="s">
        <v>162</v>
      </c>
      <c r="C230" s="2">
        <v>45292</v>
      </c>
      <c r="D230">
        <v>36.56</v>
      </c>
      <c r="E230" s="1" t="s">
        <v>218</v>
      </c>
      <c r="F230" s="1" t="s">
        <v>225</v>
      </c>
      <c r="G230">
        <v>0</v>
      </c>
    </row>
    <row r="231" spans="1:7" x14ac:dyDescent="0.25">
      <c r="A231" s="1"/>
      <c r="B231" s="1"/>
      <c r="C231" s="2"/>
      <c r="D231">
        <f>MAX(D2:D230)</f>
        <v>148.97</v>
      </c>
      <c r="E231" s="1"/>
      <c r="F231" s="1"/>
    </row>
    <row r="232" spans="1:7" x14ac:dyDescent="0.25">
      <c r="D232">
        <f>MIN(D2:D231)</f>
        <v>8.0399999999999991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2FEE-8DC4-4412-BED0-EB3A7CC335B4}">
  <dimension ref="A3:H31"/>
  <sheetViews>
    <sheetView workbookViewId="0">
      <selection activeCell="H19" sqref="H19"/>
    </sheetView>
  </sheetViews>
  <sheetFormatPr defaultRowHeight="15" x14ac:dyDescent="0.25"/>
  <cols>
    <col min="1" max="1" width="20.140625" bestFit="1" customWidth="1"/>
    <col min="2" max="2" width="16.85546875" bestFit="1" customWidth="1"/>
    <col min="3" max="3" width="11.7109375" bestFit="1" customWidth="1"/>
    <col min="4" max="4" width="11.28515625" bestFit="1" customWidth="1"/>
    <col min="5" max="5" width="16.140625" bestFit="1" customWidth="1"/>
    <col min="6" max="7" width="11.28515625" bestFit="1" customWidth="1"/>
    <col min="8" max="8" width="18.28515625" bestFit="1" customWidth="1"/>
    <col min="9" max="9" width="8.85546875" bestFit="1" customWidth="1"/>
    <col min="10" max="10" width="8" bestFit="1" customWidth="1"/>
    <col min="11" max="11" width="8.85546875" bestFit="1" customWidth="1"/>
    <col min="12" max="12" width="9" bestFit="1" customWidth="1"/>
    <col min="13" max="13" width="11.28515625" bestFit="1" customWidth="1"/>
  </cols>
  <sheetData>
    <row r="3" spans="1:8" x14ac:dyDescent="0.25">
      <c r="A3" s="3" t="s">
        <v>4</v>
      </c>
      <c r="B3" t="s">
        <v>450</v>
      </c>
      <c r="D3" s="3" t="s">
        <v>5</v>
      </c>
      <c r="E3" t="s">
        <v>451</v>
      </c>
      <c r="G3" s="3" t="s">
        <v>453</v>
      </c>
      <c r="H3" t="s">
        <v>452</v>
      </c>
    </row>
    <row r="4" spans="1:8" x14ac:dyDescent="0.25">
      <c r="A4" s="4" t="s">
        <v>18</v>
      </c>
      <c r="B4" s="1">
        <v>28</v>
      </c>
      <c r="D4" s="4" t="s">
        <v>34</v>
      </c>
      <c r="E4" s="1">
        <v>13</v>
      </c>
      <c r="G4" s="4" t="s">
        <v>323</v>
      </c>
      <c r="H4" s="1">
        <v>29</v>
      </c>
    </row>
    <row r="5" spans="1:8" x14ac:dyDescent="0.25">
      <c r="A5" s="4" t="s">
        <v>24</v>
      </c>
      <c r="B5" s="1">
        <v>25</v>
      </c>
      <c r="D5" s="4" t="s">
        <v>69</v>
      </c>
      <c r="E5" s="1">
        <v>12</v>
      </c>
      <c r="G5" s="4" t="s">
        <v>322</v>
      </c>
      <c r="H5" s="1">
        <v>27</v>
      </c>
    </row>
    <row r="6" spans="1:8" x14ac:dyDescent="0.25">
      <c r="A6" s="4" t="s">
        <v>28</v>
      </c>
      <c r="B6" s="1">
        <v>22</v>
      </c>
      <c r="D6" s="4" t="s">
        <v>19</v>
      </c>
      <c r="E6" s="1">
        <v>11</v>
      </c>
      <c r="G6" s="4" t="s">
        <v>326</v>
      </c>
      <c r="H6" s="1">
        <v>27</v>
      </c>
    </row>
    <row r="7" spans="1:8" x14ac:dyDescent="0.25">
      <c r="A7" s="4" t="s">
        <v>11</v>
      </c>
      <c r="B7" s="1">
        <v>19</v>
      </c>
      <c r="D7" s="4" t="s">
        <v>90</v>
      </c>
      <c r="E7" s="1">
        <v>11</v>
      </c>
      <c r="G7" s="4" t="s">
        <v>325</v>
      </c>
      <c r="H7" s="1">
        <v>25</v>
      </c>
    </row>
    <row r="8" spans="1:8" x14ac:dyDescent="0.25">
      <c r="A8" s="4" t="s">
        <v>33</v>
      </c>
      <c r="B8" s="1">
        <v>26</v>
      </c>
      <c r="D8" s="4" t="s">
        <v>29</v>
      </c>
      <c r="E8" s="1">
        <v>11</v>
      </c>
      <c r="G8" s="4" t="s">
        <v>324</v>
      </c>
      <c r="H8" s="1">
        <v>12</v>
      </c>
    </row>
    <row r="9" spans="1:8" x14ac:dyDescent="0.25">
      <c r="A9" s="4" t="s">
        <v>449</v>
      </c>
      <c r="B9" s="1">
        <v>120</v>
      </c>
      <c r="D9" s="4" t="s">
        <v>47</v>
      </c>
      <c r="E9" s="1">
        <v>11</v>
      </c>
      <c r="G9" s="4" t="s">
        <v>449</v>
      </c>
      <c r="H9" s="1">
        <v>120</v>
      </c>
    </row>
    <row r="10" spans="1:8" x14ac:dyDescent="0.25">
      <c r="D10" s="4" t="s">
        <v>25</v>
      </c>
      <c r="E10" s="1">
        <v>11</v>
      </c>
    </row>
    <row r="11" spans="1:8" x14ac:dyDescent="0.25">
      <c r="D11" s="4" t="s">
        <v>42</v>
      </c>
      <c r="E11" s="1">
        <v>9</v>
      </c>
    </row>
    <row r="12" spans="1:8" x14ac:dyDescent="0.25">
      <c r="D12" s="4" t="s">
        <v>12</v>
      </c>
      <c r="E12" s="1">
        <v>9</v>
      </c>
    </row>
    <row r="13" spans="1:8" x14ac:dyDescent="0.25">
      <c r="D13" s="4" t="s">
        <v>80</v>
      </c>
      <c r="E13" s="1">
        <v>6</v>
      </c>
    </row>
    <row r="14" spans="1:8" x14ac:dyDescent="0.25">
      <c r="D14" s="4" t="s">
        <v>67</v>
      </c>
      <c r="E14" s="1">
        <v>5</v>
      </c>
    </row>
    <row r="15" spans="1:8" x14ac:dyDescent="0.25">
      <c r="D15" s="4" t="s">
        <v>73</v>
      </c>
      <c r="E15" s="1">
        <v>5</v>
      </c>
    </row>
    <row r="16" spans="1:8" x14ac:dyDescent="0.25">
      <c r="D16" s="4" t="s">
        <v>449</v>
      </c>
      <c r="E16" s="1">
        <v>114</v>
      </c>
    </row>
    <row r="19" spans="1:6" x14ac:dyDescent="0.25">
      <c r="A19" s="3" t="s">
        <v>454</v>
      </c>
      <c r="B19" s="3" t="s">
        <v>455</v>
      </c>
    </row>
    <row r="20" spans="1:6" x14ac:dyDescent="0.25">
      <c r="A20" s="3" t="s">
        <v>456</v>
      </c>
      <c r="B20" t="s">
        <v>326</v>
      </c>
      <c r="C20" t="s">
        <v>325</v>
      </c>
      <c r="D20" t="s">
        <v>323</v>
      </c>
      <c r="E20" t="s">
        <v>324</v>
      </c>
      <c r="F20" t="s">
        <v>449</v>
      </c>
    </row>
    <row r="21" spans="1:6" x14ac:dyDescent="0.25">
      <c r="A21" s="4" t="s">
        <v>95</v>
      </c>
      <c r="B21" s="1"/>
      <c r="C21" s="1">
        <v>397.36</v>
      </c>
      <c r="D21" s="1"/>
      <c r="E21" s="1"/>
      <c r="F21" s="1">
        <v>397.36</v>
      </c>
    </row>
    <row r="22" spans="1:6" x14ac:dyDescent="0.25">
      <c r="A22" s="4" t="s">
        <v>75</v>
      </c>
      <c r="B22" s="1"/>
      <c r="C22" s="1"/>
      <c r="D22" s="1">
        <v>390.25</v>
      </c>
      <c r="E22" s="1"/>
      <c r="F22" s="1">
        <v>390.25</v>
      </c>
    </row>
    <row r="23" spans="1:6" x14ac:dyDescent="0.25">
      <c r="A23" s="4" t="s">
        <v>68</v>
      </c>
      <c r="B23" s="1"/>
      <c r="C23" s="1">
        <v>355.19</v>
      </c>
      <c r="D23" s="1"/>
      <c r="E23" s="1"/>
      <c r="F23" s="1">
        <v>355.19</v>
      </c>
    </row>
    <row r="24" spans="1:6" x14ac:dyDescent="0.25">
      <c r="A24" s="4" t="s">
        <v>57</v>
      </c>
      <c r="B24" s="1"/>
      <c r="C24" s="1"/>
      <c r="D24" s="1"/>
      <c r="E24" s="1">
        <v>335.9</v>
      </c>
      <c r="F24" s="1">
        <v>335.9</v>
      </c>
    </row>
    <row r="25" spans="1:6" x14ac:dyDescent="0.25">
      <c r="A25" s="4" t="s">
        <v>48</v>
      </c>
      <c r="B25" s="1">
        <v>332.32</v>
      </c>
      <c r="C25" s="1"/>
      <c r="D25" s="1"/>
      <c r="E25" s="1"/>
      <c r="F25" s="1">
        <v>332.32</v>
      </c>
    </row>
    <row r="26" spans="1:6" x14ac:dyDescent="0.25">
      <c r="A26" s="4" t="s">
        <v>76</v>
      </c>
      <c r="B26" s="1"/>
      <c r="C26" s="1"/>
      <c r="D26" s="1"/>
      <c r="E26" s="1">
        <v>332.2</v>
      </c>
      <c r="F26" s="1">
        <v>332.2</v>
      </c>
    </row>
    <row r="27" spans="1:6" x14ac:dyDescent="0.25">
      <c r="A27" s="4" t="s">
        <v>78</v>
      </c>
      <c r="B27" s="1"/>
      <c r="C27" s="1">
        <v>326.17</v>
      </c>
      <c r="D27" s="1"/>
      <c r="E27" s="1"/>
      <c r="F27" s="1">
        <v>326.17</v>
      </c>
    </row>
    <row r="28" spans="1:6" x14ac:dyDescent="0.25">
      <c r="A28" s="4" t="s">
        <v>81</v>
      </c>
      <c r="B28" s="1"/>
      <c r="C28" s="1"/>
      <c r="D28" s="1">
        <v>318</v>
      </c>
      <c r="E28" s="1"/>
      <c r="F28" s="1">
        <v>318</v>
      </c>
    </row>
    <row r="29" spans="1:6" x14ac:dyDescent="0.25">
      <c r="A29" s="4" t="s">
        <v>41</v>
      </c>
      <c r="B29" s="1"/>
      <c r="C29" s="1">
        <v>310.7</v>
      </c>
      <c r="D29" s="1"/>
      <c r="E29" s="1"/>
      <c r="F29" s="1">
        <v>310.7</v>
      </c>
    </row>
    <row r="30" spans="1:6" x14ac:dyDescent="0.25">
      <c r="A30" s="4" t="s">
        <v>114</v>
      </c>
      <c r="B30" s="1"/>
      <c r="C30" s="1"/>
      <c r="D30" s="1">
        <v>300.54000000000002</v>
      </c>
      <c r="E30" s="1"/>
      <c r="F30" s="1">
        <v>300.54000000000002</v>
      </c>
    </row>
    <row r="31" spans="1:6" x14ac:dyDescent="0.25">
      <c r="A31" s="4" t="s">
        <v>449</v>
      </c>
      <c r="B31" s="1">
        <v>332.32</v>
      </c>
      <c r="C31" s="1">
        <v>1389.42</v>
      </c>
      <c r="D31" s="1">
        <v>1008.79</v>
      </c>
      <c r="E31" s="1">
        <v>668.1</v>
      </c>
      <c r="F31" s="1">
        <v>3398.63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BF208D-C014-4DFF-9545-5FF860194B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 Data</vt:lpstr>
      <vt:lpstr>Plans Table</vt:lpstr>
      <vt:lpstr>Billing Data</vt:lpstr>
      <vt:lpstr>Pivot Tables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2026-05-13T14:14:11Z</dcterms:created>
  <dcterms:modified xsi:type="dcterms:W3CDTF">2026-05-13T18:08:43Z</dcterms:modified>
</cp:coreProperties>
</file>